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Jutharat\Desktop\"/>
    </mc:Choice>
  </mc:AlternateContent>
  <bookViews>
    <workbookView xWindow="0" yWindow="0" windowWidth="28800" windowHeight="12330"/>
  </bookViews>
  <sheets>
    <sheet name="205205 Depreciation Table 2026" sheetId="1" r:id="rId1"/>
    <sheet name="898150 Uncapitalization 2026" sheetId="2" r:id="rId2"/>
    <sheet name="Asset 2017-2019 of 2025" sheetId="3" r:id="rId3"/>
  </sheets>
  <externalReferences>
    <externalReference r:id="rId4"/>
  </externalReferenc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8" i="3" l="1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B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K80" i="3"/>
  <c r="L79" i="3"/>
  <c r="K79" i="3"/>
  <c r="K78" i="3"/>
  <c r="L78" i="3" s="1"/>
  <c r="L77" i="3"/>
  <c r="K77" i="3"/>
  <c r="L76" i="3"/>
  <c r="K76" i="3"/>
  <c r="L75" i="3"/>
  <c r="K75" i="3"/>
  <c r="K74" i="3"/>
  <c r="L74" i="3" s="1"/>
  <c r="L73" i="3"/>
  <c r="K73" i="3"/>
  <c r="L72" i="3"/>
  <c r="K72" i="3"/>
  <c r="L71" i="3"/>
  <c r="K71" i="3"/>
  <c r="K70" i="3"/>
  <c r="L70" i="3" s="1"/>
  <c r="L69" i="3"/>
  <c r="K69" i="3"/>
  <c r="L68" i="3"/>
  <c r="K68" i="3"/>
  <c r="L67" i="3"/>
  <c r="K67" i="3"/>
  <c r="K66" i="3"/>
  <c r="L66" i="3" s="1"/>
  <c r="L65" i="3"/>
  <c r="K65" i="3"/>
  <c r="L64" i="3"/>
  <c r="K64" i="3"/>
  <c r="L63" i="3"/>
  <c r="L62" i="3"/>
  <c r="L61" i="3"/>
  <c r="L60" i="3"/>
  <c r="L59" i="3"/>
  <c r="L58" i="3"/>
  <c r="L57" i="3"/>
  <c r="K57" i="3"/>
  <c r="L56" i="3"/>
  <c r="K56" i="3"/>
  <c r="K55" i="3"/>
  <c r="L55" i="3" s="1"/>
  <c r="L54" i="3"/>
  <c r="K54" i="3"/>
  <c r="L53" i="3"/>
  <c r="K53" i="3"/>
  <c r="L52" i="3"/>
  <c r="K52" i="3"/>
  <c r="K51" i="3"/>
  <c r="L51" i="3" s="1"/>
  <c r="L50" i="3"/>
  <c r="K50" i="3"/>
  <c r="L49" i="3"/>
  <c r="K49" i="3"/>
  <c r="L48" i="3"/>
  <c r="K48" i="3"/>
  <c r="K47" i="3"/>
  <c r="L47" i="3" s="1"/>
  <c r="L46" i="3"/>
  <c r="K46" i="3"/>
  <c r="L45" i="3"/>
  <c r="K45" i="3"/>
  <c r="L44" i="3"/>
  <c r="K44" i="3"/>
  <c r="K43" i="3"/>
  <c r="L43" i="3" s="1"/>
  <c r="L42" i="3"/>
  <c r="K42" i="3"/>
  <c r="L41" i="3"/>
  <c r="K41" i="3"/>
  <c r="L40" i="3"/>
  <c r="K40" i="3"/>
  <c r="K39" i="3"/>
  <c r="L39" i="3" s="1"/>
  <c r="L38" i="3"/>
  <c r="K38" i="3"/>
  <c r="L37" i="3"/>
  <c r="K37" i="3"/>
  <c r="L36" i="3"/>
  <c r="K36" i="3"/>
  <c r="K35" i="3"/>
  <c r="L35" i="3" s="1"/>
  <c r="L34" i="3"/>
  <c r="K34" i="3"/>
  <c r="L33" i="3"/>
  <c r="K33" i="3"/>
  <c r="L32" i="3"/>
  <c r="K32" i="3"/>
  <c r="K31" i="3"/>
  <c r="L31" i="3" s="1"/>
  <c r="L30" i="3"/>
  <c r="K30" i="3"/>
  <c r="L29" i="3"/>
  <c r="K29" i="3"/>
  <c r="L28" i="3"/>
  <c r="K28" i="3"/>
  <c r="K27" i="3"/>
  <c r="L27" i="3" s="1"/>
  <c r="L26" i="3"/>
  <c r="K26" i="3"/>
  <c r="L25" i="3"/>
  <c r="L24" i="3"/>
  <c r="L23" i="3"/>
  <c r="L22" i="3"/>
  <c r="L21" i="3"/>
  <c r="B21" i="3"/>
  <c r="L20" i="3"/>
  <c r="L19" i="3"/>
  <c r="L18" i="3"/>
  <c r="B18" i="3"/>
  <c r="L17" i="3"/>
  <c r="K17" i="3"/>
  <c r="K16" i="3"/>
  <c r="L16" i="3" s="1"/>
  <c r="L15" i="3"/>
  <c r="K15" i="3"/>
  <c r="L14" i="3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L7" i="3"/>
  <c r="O109" i="2"/>
  <c r="M109" i="2"/>
  <c r="O108" i="2"/>
  <c r="M108" i="2"/>
  <c r="O107" i="2"/>
  <c r="M107" i="2"/>
  <c r="O106" i="2"/>
  <c r="M106" i="2"/>
  <c r="O105" i="2"/>
  <c r="M105" i="2"/>
  <c r="O104" i="2"/>
  <c r="M104" i="2"/>
  <c r="O103" i="2"/>
  <c r="M103" i="2"/>
  <c r="O102" i="2"/>
  <c r="M102" i="2"/>
  <c r="O101" i="2"/>
  <c r="M101" i="2"/>
  <c r="O100" i="2"/>
  <c r="M100" i="2"/>
  <c r="O99" i="2"/>
  <c r="M99" i="2"/>
  <c r="O98" i="2"/>
  <c r="M98" i="2"/>
  <c r="O97" i="2"/>
  <c r="M97" i="2"/>
  <c r="O96" i="2"/>
  <c r="M96" i="2"/>
  <c r="O95" i="2"/>
  <c r="M95" i="2"/>
  <c r="O94" i="2"/>
  <c r="M94" i="2"/>
  <c r="O93" i="2"/>
  <c r="M93" i="2"/>
  <c r="O92" i="2"/>
  <c r="M92" i="2"/>
  <c r="O91" i="2"/>
  <c r="M91" i="2"/>
  <c r="O90" i="2"/>
  <c r="M90" i="2"/>
  <c r="O89" i="2"/>
  <c r="M89" i="2"/>
  <c r="O88" i="2"/>
  <c r="M88" i="2"/>
  <c r="O87" i="2"/>
  <c r="M87" i="2"/>
  <c r="O86" i="2"/>
  <c r="M86" i="2"/>
  <c r="O85" i="2"/>
  <c r="M85" i="2"/>
  <c r="O84" i="2"/>
  <c r="M84" i="2"/>
  <c r="O83" i="2"/>
  <c r="M83" i="2"/>
  <c r="O82" i="2"/>
  <c r="M82" i="2"/>
  <c r="O81" i="2"/>
  <c r="M81" i="2"/>
  <c r="O80" i="2"/>
  <c r="M80" i="2"/>
  <c r="O79" i="2"/>
  <c r="M79" i="2"/>
  <c r="O78" i="2"/>
  <c r="M78" i="2"/>
  <c r="O77" i="2"/>
  <c r="M77" i="2"/>
  <c r="O76" i="2"/>
  <c r="M76" i="2"/>
  <c r="O75" i="2"/>
  <c r="M75" i="2"/>
  <c r="O74" i="2"/>
  <c r="M74" i="2"/>
  <c r="O73" i="2"/>
  <c r="M73" i="2"/>
  <c r="O72" i="2"/>
  <c r="M72" i="2"/>
  <c r="O71" i="2"/>
  <c r="M71" i="2"/>
  <c r="O70" i="2"/>
  <c r="M70" i="2"/>
  <c r="O69" i="2"/>
  <c r="M69" i="2"/>
  <c r="O68" i="2"/>
  <c r="M68" i="2"/>
  <c r="O67" i="2"/>
  <c r="M67" i="2"/>
  <c r="O66" i="2"/>
  <c r="M66" i="2"/>
  <c r="O65" i="2"/>
  <c r="M65" i="2"/>
  <c r="O64" i="2"/>
  <c r="M64" i="2"/>
  <c r="O63" i="2"/>
  <c r="M63" i="2"/>
  <c r="O62" i="2"/>
  <c r="M62" i="2"/>
  <c r="O61" i="2"/>
  <c r="M61" i="2"/>
  <c r="O60" i="2"/>
  <c r="M60" i="2"/>
  <c r="O59" i="2"/>
  <c r="M59" i="2"/>
  <c r="O58" i="2"/>
  <c r="M58" i="2"/>
  <c r="O57" i="2"/>
  <c r="M57" i="2"/>
  <c r="O56" i="2"/>
  <c r="M56" i="2"/>
  <c r="O55" i="2"/>
  <c r="M55" i="2"/>
  <c r="O54" i="2"/>
  <c r="M54" i="2"/>
  <c r="O53" i="2"/>
  <c r="M53" i="2"/>
  <c r="O52" i="2"/>
  <c r="M52" i="2"/>
  <c r="O51" i="2"/>
  <c r="M51" i="2"/>
  <c r="O50" i="2"/>
  <c r="M50" i="2"/>
  <c r="O49" i="2"/>
  <c r="M49" i="2"/>
  <c r="O48" i="2"/>
  <c r="M48" i="2"/>
  <c r="O47" i="2"/>
  <c r="M47" i="2"/>
  <c r="O46" i="2"/>
  <c r="M46" i="2"/>
  <c r="O45" i="2"/>
  <c r="M45" i="2"/>
  <c r="O44" i="2"/>
  <c r="M44" i="2"/>
  <c r="O43" i="2"/>
  <c r="M43" i="2"/>
  <c r="O42" i="2"/>
  <c r="M42" i="2"/>
  <c r="O41" i="2"/>
  <c r="M41" i="2"/>
  <c r="O40" i="2"/>
  <c r="M40" i="2"/>
  <c r="O39" i="2"/>
  <c r="M39" i="2"/>
  <c r="O38" i="2"/>
  <c r="M38" i="2"/>
  <c r="O37" i="2"/>
  <c r="M37" i="2"/>
  <c r="O36" i="2"/>
  <c r="M36" i="2"/>
  <c r="O35" i="2"/>
  <c r="M35" i="2"/>
  <c r="O34" i="2"/>
  <c r="M34" i="2"/>
  <c r="O33" i="2"/>
  <c r="M33" i="2"/>
  <c r="O32" i="2"/>
  <c r="M32" i="2"/>
  <c r="O31" i="2"/>
  <c r="M31" i="2"/>
  <c r="O30" i="2"/>
  <c r="M30" i="2"/>
  <c r="O29" i="2"/>
  <c r="M29" i="2"/>
  <c r="O28" i="2"/>
  <c r="M28" i="2"/>
  <c r="O27" i="2"/>
  <c r="M27" i="2"/>
  <c r="O26" i="2"/>
  <c r="M26" i="2"/>
  <c r="O25" i="2"/>
  <c r="M25" i="2"/>
  <c r="O24" i="2"/>
  <c r="M24" i="2"/>
  <c r="O23" i="2"/>
  <c r="M23" i="2"/>
  <c r="O22" i="2"/>
  <c r="M22" i="2"/>
  <c r="O21" i="2"/>
  <c r="M21" i="2"/>
  <c r="J21" i="2"/>
  <c r="O20" i="2"/>
  <c r="M20" i="2"/>
  <c r="J20" i="2"/>
  <c r="O19" i="2"/>
  <c r="M19" i="2"/>
  <c r="O18" i="2"/>
  <c r="M18" i="2"/>
  <c r="O17" i="2"/>
  <c r="M17" i="2"/>
  <c r="O16" i="2"/>
  <c r="M16" i="2"/>
  <c r="O15" i="2"/>
  <c r="M15" i="2"/>
  <c r="O14" i="2"/>
  <c r="M14" i="2"/>
  <c r="O13" i="2"/>
  <c r="M13" i="2"/>
  <c r="J13" i="2"/>
  <c r="J14" i="2" s="1"/>
  <c r="O12" i="2"/>
  <c r="M12" i="2"/>
  <c r="J12" i="2"/>
  <c r="O11" i="2"/>
  <c r="M11" i="2"/>
  <c r="J11" i="2"/>
  <c r="O10" i="2"/>
  <c r="M10" i="2"/>
  <c r="J10" i="2"/>
  <c r="J110" i="2" s="1"/>
  <c r="O9" i="2"/>
  <c r="M9" i="2"/>
  <c r="O8" i="2"/>
  <c r="M8" i="2"/>
  <c r="O7" i="2"/>
  <c r="M7" i="2"/>
  <c r="M88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6" i="1"/>
  <c r="O65" i="1"/>
  <c r="O64" i="1"/>
  <c r="O63" i="1"/>
  <c r="O62" i="1"/>
  <c r="O61" i="1"/>
  <c r="O60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O88" i="1" s="1"/>
  <c r="L8" i="1"/>
  <c r="A6" i="2"/>
</calcChain>
</file>

<file path=xl/sharedStrings.xml><?xml version="1.0" encoding="utf-8"?>
<sst xmlns="http://schemas.openxmlformats.org/spreadsheetml/2006/main" count="2336" uniqueCount="996">
  <si>
    <t>Hope Channel Southeast Asia (Thailand)</t>
  </si>
  <si>
    <t>Muak Lek Campus</t>
  </si>
  <si>
    <t>Asset List 2022-2026</t>
  </si>
  <si>
    <t>Fixture &amp; Furniture as of December 2026</t>
  </si>
  <si>
    <t>Year</t>
  </si>
  <si>
    <t xml:space="preserve">Accounting </t>
  </si>
  <si>
    <t>Asset details/</t>
  </si>
  <si>
    <t>สภาพ</t>
  </si>
  <si>
    <t>Asset</t>
  </si>
  <si>
    <t>Purchase</t>
  </si>
  <si>
    <t>Period</t>
  </si>
  <si>
    <t>JV</t>
  </si>
  <si>
    <t>Asset Name</t>
  </si>
  <si>
    <t>Description</t>
  </si>
  <si>
    <t>Serial number</t>
  </si>
  <si>
    <t>Location</t>
  </si>
  <si>
    <t>Who</t>
  </si>
  <si>
    <t>Condition</t>
  </si>
  <si>
    <t>Code</t>
  </si>
  <si>
    <t>%</t>
  </si>
  <si>
    <t>Price</t>
  </si>
  <si>
    <t>Qty.</t>
  </si>
  <si>
    <t>Net Value</t>
  </si>
  <si>
    <t>Remarks</t>
  </si>
  <si>
    <t>2022/001</t>
  </si>
  <si>
    <t>PRODUCTION MGR DESK</t>
  </si>
  <si>
    <t>Manager room</t>
  </si>
  <si>
    <t>E00001</t>
  </si>
  <si>
    <t>2022-2024= 3</t>
  </si>
  <si>
    <t>HC</t>
  </si>
  <si>
    <t>001/2022</t>
  </si>
  <si>
    <t>SEUM</t>
  </si>
  <si>
    <t>2-SEATER SOFA</t>
  </si>
  <si>
    <t>3-SEATER SOFA</t>
  </si>
  <si>
    <t>Lobby</t>
  </si>
  <si>
    <t>E00002</t>
  </si>
  <si>
    <t>1 KING SIZE BED</t>
  </si>
  <si>
    <t>Guestroom</t>
  </si>
  <si>
    <t>E00003</t>
  </si>
  <si>
    <t>SINGLE BEDS</t>
  </si>
  <si>
    <t>E00004</t>
  </si>
  <si>
    <t>E00005</t>
  </si>
  <si>
    <t>E00006</t>
  </si>
  <si>
    <t>E00007</t>
  </si>
  <si>
    <t xml:space="preserve"> BLACK-OUT CURTAIN </t>
  </si>
  <si>
    <t xml:space="preserve"> BLACK-OUT CURTAIN DEPOSIT</t>
  </si>
  <si>
    <t>-</t>
  </si>
  <si>
    <t>No additional information.</t>
  </si>
  <si>
    <t>E00008</t>
  </si>
  <si>
    <t xml:space="preserve">BLUE 3 SEATER SOFA </t>
  </si>
  <si>
    <t xml:space="preserve">KIVIK BLUE 3 SEATER SOFA </t>
  </si>
  <si>
    <t>Lobby 2ndfloor</t>
  </si>
  <si>
    <t>E00009</t>
  </si>
  <si>
    <t>RED 3 SEATER SOFA</t>
  </si>
  <si>
    <t xml:space="preserve">KIVIK RED 3 SEATER SOFA </t>
  </si>
  <si>
    <t>Green room</t>
  </si>
  <si>
    <t>E00010</t>
  </si>
  <si>
    <t>STOCKSUND BENCH</t>
  </si>
  <si>
    <t xml:space="preserve">STOCKSUND BENCH  1 of 2 </t>
  </si>
  <si>
    <t>Recording room</t>
  </si>
  <si>
    <t>E00011</t>
  </si>
  <si>
    <t>STOCKSUND BENCH  2 of 2</t>
  </si>
  <si>
    <t>E00012</t>
  </si>
  <si>
    <t xml:space="preserve">CURTAINS </t>
  </si>
  <si>
    <t>CURTAINS FOR -MUAKLEK</t>
  </si>
  <si>
    <t>E00013</t>
  </si>
  <si>
    <t xml:space="preserve">CHAIRS </t>
  </si>
  <si>
    <t>II UNITS OF CHAIRS   -MUAKLEK 1 of 2</t>
  </si>
  <si>
    <t>E00014</t>
  </si>
  <si>
    <t>II UNITS OF CHAIRS  -MUAKLEK 2 of 2</t>
  </si>
  <si>
    <t>E00015</t>
  </si>
  <si>
    <t>KITCHEN SUPPLIES</t>
  </si>
  <si>
    <t>KITCHEN SUPPLIES - -MUAKLEK</t>
  </si>
  <si>
    <t>Kitchen</t>
  </si>
  <si>
    <t>E00016</t>
  </si>
  <si>
    <t xml:space="preserve">KITCHEN SUPPLIES </t>
  </si>
  <si>
    <t>KITCHEN SUPPLIES FOR  -MUAKLEK PROGRAMS</t>
  </si>
  <si>
    <t>E00017</t>
  </si>
  <si>
    <t xml:space="preserve">CONFERENCE TABLE </t>
  </si>
  <si>
    <t>Conference room</t>
  </si>
  <si>
    <t>E00018</t>
  </si>
  <si>
    <t xml:space="preserve">DIRECTOR'S DESK </t>
  </si>
  <si>
    <t>E00019</t>
  </si>
  <si>
    <t xml:space="preserve">3-SEATER SOFA </t>
  </si>
  <si>
    <t>Studio</t>
  </si>
  <si>
    <t>E00020</t>
  </si>
  <si>
    <t xml:space="preserve">1.7x3.0x2.4 SHELF </t>
  </si>
  <si>
    <t>1.7x3.0x2.4 SHELF - HC-AIU</t>
  </si>
  <si>
    <t>1st Floor</t>
  </si>
  <si>
    <t>E00021</t>
  </si>
  <si>
    <t xml:space="preserve">2.26x4.0x2.4 SHELF </t>
  </si>
  <si>
    <t>2.26x4.0x2.4 SHELF - HC-AIU</t>
  </si>
  <si>
    <t>2nd Floor</t>
  </si>
  <si>
    <t>E00022</t>
  </si>
  <si>
    <t xml:space="preserve">MIDDLE CABINET </t>
  </si>
  <si>
    <t>BEDROOM 1 MIDDLE CABINET - HC-AIU</t>
  </si>
  <si>
    <t>Guestroom 1</t>
  </si>
  <si>
    <t>E00023</t>
  </si>
  <si>
    <t xml:space="preserve">CABINET </t>
  </si>
  <si>
    <t>BEDROOM 2 CABINET - HC-AIU 1 of 2</t>
  </si>
  <si>
    <t>Guestroom 2</t>
  </si>
  <si>
    <t>E00024</t>
  </si>
  <si>
    <t>BEDROOM 2 CABINET - HC-AIU 2 of 2</t>
  </si>
  <si>
    <t>E00025</t>
  </si>
  <si>
    <t>TABLE</t>
  </si>
  <si>
    <t>GREEN ROOM MAKE TABLE&amp;DRAWERS - HC-AIU</t>
  </si>
  <si>
    <t>E00026</t>
  </si>
  <si>
    <t xml:space="preserve"> 3 SEATER SOFA </t>
  </si>
  <si>
    <t>KIVIK  LEATHER 3 SEATER SOFA FOR HC-AIU</t>
  </si>
  <si>
    <t>E00027</t>
  </si>
  <si>
    <t xml:space="preserve"> REFRIGERATOR </t>
  </si>
  <si>
    <t>E00028</t>
  </si>
  <si>
    <t>Television</t>
  </si>
  <si>
    <t>TV&amp;BRACKET FOR  LOBBY</t>
  </si>
  <si>
    <t>E00029</t>
  </si>
  <si>
    <t>LG 49"TV 1 of 4</t>
  </si>
  <si>
    <t>Production Room</t>
  </si>
  <si>
    <t>E00030</t>
  </si>
  <si>
    <t>LG 49"TV 2 of 4</t>
  </si>
  <si>
    <t>E00031</t>
  </si>
  <si>
    <t>LG 49"TV 3 of 4</t>
  </si>
  <si>
    <t>E00032</t>
  </si>
  <si>
    <t>LG 49"TV 4 of 4</t>
  </si>
  <si>
    <t>E00033</t>
  </si>
  <si>
    <t>TABLES</t>
  </si>
  <si>
    <t xml:space="preserve"> VIDEO&amp;AUDIO CONTROL ROOMS CUSTOMISED TABLES</t>
  </si>
  <si>
    <t>E00034</t>
  </si>
  <si>
    <t xml:space="preserve">TV STANDS </t>
  </si>
  <si>
    <t>TV STANDS AND INSTALLATION CHG</t>
  </si>
  <si>
    <t>E00035</t>
  </si>
  <si>
    <t>KITCHEN SET</t>
  </si>
  <si>
    <t>KITCHEN SET(CABINET/TOP/HOB/HOOD/SINK) FOR HC-AIU</t>
  </si>
  <si>
    <t>E00036</t>
  </si>
  <si>
    <t>LG 75 INCH SMART TV FOR HC-AIU</t>
  </si>
  <si>
    <t>E00037</t>
  </si>
  <si>
    <t>RECEIVER DECODER</t>
  </si>
  <si>
    <t>UC-IRD RECEIVER-DECODER FOR HC-AIU</t>
  </si>
  <si>
    <t>Server Room</t>
  </si>
  <si>
    <t>E00038</t>
  </si>
  <si>
    <t xml:space="preserve">CAMCORDER </t>
  </si>
  <si>
    <t>PANASONIC AG-CX350 CAMCORDER FOR HC-AIU (1of4)</t>
  </si>
  <si>
    <t>E00039</t>
  </si>
  <si>
    <t>CAMCORDER</t>
  </si>
  <si>
    <t>PANASONIC AG-CX350 CAMCORDER FOR HC-AIU (2of4)</t>
  </si>
  <si>
    <t>E00040</t>
  </si>
  <si>
    <t>PANASONIC AG-CX350 CAMCORDER FOR HC-AIU (3of4)</t>
  </si>
  <si>
    <t>E00041</t>
  </si>
  <si>
    <t>PANASONIC AG-CX350 CAMCORDER FOR HC-AIU (4of4)</t>
  </si>
  <si>
    <t>E00042</t>
  </si>
  <si>
    <t>CAMERA CRANE</t>
  </si>
  <si>
    <t>LIBEC SWIFT JIB 50B CAMERA CRANE</t>
  </si>
  <si>
    <t>E00043</t>
  </si>
  <si>
    <t>REFRIGERATOR</t>
  </si>
  <si>
    <t>SAMSUNG REFRIGERATOR</t>
  </si>
  <si>
    <t>E00044</t>
  </si>
  <si>
    <t>SHOTGUN MICROPHONE</t>
  </si>
  <si>
    <t>SENNHEISER SHORT SHOTGUN INTERFERENCE MICROPHONE</t>
  </si>
  <si>
    <t>Video Room C</t>
  </si>
  <si>
    <t>E00045</t>
  </si>
  <si>
    <t xml:space="preserve">REMOTE HEAD </t>
  </si>
  <si>
    <t>LIBEC REMO30 REMOTE HEAD FOR HANDHELD CAMERA</t>
  </si>
  <si>
    <t>E00046</t>
  </si>
  <si>
    <t xml:space="preserve">COUNTER TABLE </t>
  </si>
  <si>
    <t>MODERFORM COUNTER TABLE FOR HC-AIU</t>
  </si>
  <si>
    <t>E00047</t>
  </si>
  <si>
    <t>MIXING CONSOLE</t>
  </si>
  <si>
    <t>YAMAHA TF532 CHANNEL DIG MIXING CONSOLE&amp;DANTE,1of2</t>
  </si>
  <si>
    <t>Control room</t>
  </si>
  <si>
    <t>E00048</t>
  </si>
  <si>
    <t>YAMAHA TF532 CHANNEL DIG MIXING CONSOLE&amp;DANTE,2of2</t>
  </si>
  <si>
    <t>E00049</t>
  </si>
  <si>
    <t>NEWTEK</t>
  </si>
  <si>
    <t>NEWTEK NRS16 96TB BASE CAPACITY DRIVE BAYS</t>
  </si>
  <si>
    <t>E00050</t>
  </si>
  <si>
    <t>2022-2025= 4</t>
  </si>
  <si>
    <t>NEWTEK TRICASTER TC1 VIDEO SWITCHER</t>
  </si>
  <si>
    <t>E00051</t>
  </si>
  <si>
    <t>APPLE MACBOOK PRO</t>
  </si>
  <si>
    <t>APPLE MACBOOK PRO COMPUTER  FOR HC-AIU</t>
  </si>
  <si>
    <t>Pr. Heary</t>
  </si>
  <si>
    <t>Remove JV2313</t>
  </si>
  <si>
    <t>E00052</t>
  </si>
  <si>
    <t>ENCODER/TRANSCODER</t>
  </si>
  <si>
    <t>NIAGARA HD MC ENCODER/TRANSCODER</t>
  </si>
  <si>
    <t>E00053</t>
  </si>
  <si>
    <t>APPLE iMAC PRO</t>
  </si>
  <si>
    <t>APPLE IMAC PRO</t>
  </si>
  <si>
    <t>E00054</t>
  </si>
  <si>
    <t>LCD MONITOR</t>
  </si>
  <si>
    <t>TV LOGIC 17"MULTI FORMAT LCD MONITOR</t>
  </si>
  <si>
    <t>E00055</t>
  </si>
  <si>
    <t>CONDENSER MICROPHONE</t>
  </si>
  <si>
    <t>NEUMAN CONDENSER MICROPHONE</t>
  </si>
  <si>
    <t>E00056</t>
  </si>
  <si>
    <t>E00057</t>
  </si>
  <si>
    <t xml:space="preserve">APPLE MACBOOK PRO 27 </t>
  </si>
  <si>
    <t>APPLE MACBOOK PRO 27 COMPUTER</t>
  </si>
  <si>
    <t>E00058</t>
  </si>
  <si>
    <t>MIRRORLESS CAMERA</t>
  </si>
  <si>
    <t>SONY A7 III MIRRORLESS DIGITAL CAMERA</t>
  </si>
  <si>
    <t>E00059</t>
  </si>
  <si>
    <t>TECH CRANE  3 LAB</t>
  </si>
  <si>
    <t>ZHIYUN-TECH CRANE  3 LAB</t>
  </si>
  <si>
    <t>Remove JV2312</t>
  </si>
  <si>
    <t>E00060</t>
  </si>
  <si>
    <t>ELECTRIC GOLF CAR</t>
  </si>
  <si>
    <t>ELECTRIC GOLF CAR FOR HC</t>
  </si>
  <si>
    <t>Studio car parking</t>
  </si>
  <si>
    <t>Remove</t>
  </si>
  <si>
    <t>E00061</t>
  </si>
  <si>
    <t>2022/005</t>
  </si>
  <si>
    <t>MOBILE RECORDING</t>
  </si>
  <si>
    <t>Mobile Recording Equipment</t>
  </si>
  <si>
    <t>E00062</t>
  </si>
  <si>
    <t>2022-2023=2</t>
  </si>
  <si>
    <t>005/2022</t>
  </si>
  <si>
    <t>2025/001</t>
  </si>
  <si>
    <t>WIRELESS MICRO</t>
  </si>
  <si>
    <t>Sound Vision SU-990D Wireless Microphone</t>
  </si>
  <si>
    <t>E00063</t>
  </si>
  <si>
    <t>2025-2025=1</t>
  </si>
  <si>
    <t>001/2025</t>
  </si>
  <si>
    <t>2024/002</t>
  </si>
  <si>
    <t>MICROPHONE&amp;MIXE</t>
  </si>
  <si>
    <t>Shure Microphone SM58 and Yamaha Mixer</t>
  </si>
  <si>
    <t>E00064</t>
  </si>
  <si>
    <t>2024-2026</t>
  </si>
  <si>
    <t>002/2024</t>
  </si>
  <si>
    <t>SONYLENS</t>
  </si>
  <si>
    <t>Sony FE20 F.5 Lens</t>
  </si>
  <si>
    <t>E00065</t>
  </si>
  <si>
    <t>Macbook</t>
  </si>
  <si>
    <t>Macbook Pro M4 16-Inch for Manager</t>
  </si>
  <si>
    <t>Manager Office</t>
  </si>
  <si>
    <t>Pr.Heary</t>
  </si>
  <si>
    <t>E00066</t>
  </si>
  <si>
    <t>2025-2026</t>
  </si>
  <si>
    <t>2026/002</t>
  </si>
  <si>
    <t>Apple Mac M4</t>
  </si>
  <si>
    <t>Apple Mac studio M4 Max (512GB) 1/4 for Prayot</t>
  </si>
  <si>
    <t>Prayot</t>
  </si>
  <si>
    <t>E00067</t>
  </si>
  <si>
    <t>002/2026</t>
  </si>
  <si>
    <t>Apple Mac studio M4 Max (512GB) 2/4 for Doreen</t>
  </si>
  <si>
    <t>Doreen</t>
  </si>
  <si>
    <t>E00068</t>
  </si>
  <si>
    <t>Apple Mac studio M4 Max (512GB) 3/4 for HC</t>
  </si>
  <si>
    <t>E00069</t>
  </si>
  <si>
    <t>Apple Mac studio M4 Max (512GB) 4/4 for HC</t>
  </si>
  <si>
    <t>E00070</t>
  </si>
  <si>
    <t>Ipad</t>
  </si>
  <si>
    <t xml:space="preserve">Apple Ipad Pro13 M5 wifi 512GB </t>
  </si>
  <si>
    <t>E00071</t>
  </si>
  <si>
    <t>Monitor</t>
  </si>
  <si>
    <t>Monitor Apple Mac Studio Display</t>
  </si>
  <si>
    <t>E00072</t>
  </si>
  <si>
    <t>2026/003</t>
  </si>
  <si>
    <t>Camera</t>
  </si>
  <si>
    <t>Camera-Sony A7 Mark 5(Body) Black 1/2</t>
  </si>
  <si>
    <t>E00073</t>
  </si>
  <si>
    <t>003/2026</t>
  </si>
  <si>
    <t>Camera-Sony A7 Mark 5(Body) Black 2/2</t>
  </si>
  <si>
    <t>E00074</t>
  </si>
  <si>
    <t>Lens</t>
  </si>
  <si>
    <t>Sony Lens GM(Sel70200GM2) FE 70-200MM</t>
  </si>
  <si>
    <t>E00075</t>
  </si>
  <si>
    <t>Monitor 27 Asus Proart PA278CGV-LMGS131547</t>
  </si>
  <si>
    <t>LMGS131547</t>
  </si>
  <si>
    <t>E00076</t>
  </si>
  <si>
    <t>Monitor 27 Asus Proart PA278CGV-LMGS131619</t>
  </si>
  <si>
    <t>LMGS131619</t>
  </si>
  <si>
    <t>E00077</t>
  </si>
  <si>
    <t>Monitor 27 Asus Proart PA278CGV-LMGS041241</t>
  </si>
  <si>
    <t>LMGS041241</t>
  </si>
  <si>
    <t>E00078</t>
  </si>
  <si>
    <t>Monitor 27 Asus Proart PA278CGV-LMGS041204</t>
  </si>
  <si>
    <t>LMGS041204</t>
  </si>
  <si>
    <t>E00079</t>
  </si>
  <si>
    <t>THB</t>
  </si>
  <si>
    <t>Physical Count By………………………………...…………………………</t>
  </si>
  <si>
    <t>28/09/2026 By June</t>
  </si>
  <si>
    <t>Checked By………………………………………...…………………………..</t>
  </si>
  <si>
    <t>Date……………………………………………………...…………………………</t>
  </si>
  <si>
    <t>Hope Channel Southeast Asia</t>
  </si>
  <si>
    <t>Asset List</t>
  </si>
  <si>
    <t>Uncapitalization as of December 2025</t>
  </si>
  <si>
    <t>Date</t>
  </si>
  <si>
    <t>Description/คำอธิบาย</t>
  </si>
  <si>
    <t>Condition/สภาพ</t>
  </si>
  <si>
    <t>QTY</t>
  </si>
  <si>
    <t>Base Amount</t>
  </si>
  <si>
    <t>Journal Number</t>
  </si>
  <si>
    <t>Journal Source</t>
  </si>
  <si>
    <t>U00001</t>
  </si>
  <si>
    <t>003/2022</t>
  </si>
  <si>
    <t>Cabinet 15 layers&amp;Shelf</t>
  </si>
  <si>
    <t>ตู้ลิ้นชักเหล็ก 15 ลิ้นชัก น้ำเงิน</t>
  </si>
  <si>
    <t/>
  </si>
  <si>
    <t>1051/1156</t>
  </si>
  <si>
    <t>CHA</t>
  </si>
  <si>
    <t>U00002</t>
  </si>
  <si>
    <t>012/2022</t>
  </si>
  <si>
    <t>30/12/2022</t>
  </si>
  <si>
    <t>Metal storage Cabinets and others</t>
  </si>
  <si>
    <t>ตู้เหล็กสูงบานเลื่อนกระจก</t>
  </si>
  <si>
    <t>U00003</t>
  </si>
  <si>
    <t>31/1/2025</t>
  </si>
  <si>
    <t>Purchase of bean bag and filler</t>
  </si>
  <si>
    <t>ซื้อถุงบีนแบ็กและวัสดุรอง</t>
  </si>
  <si>
    <t>JUT</t>
  </si>
  <si>
    <t>U00004</t>
  </si>
  <si>
    <t>Godox Softbox CS-85D Collapsible Lantern</t>
  </si>
  <si>
    <t>โคมไฟซอฟต์บ็อกซ์พับได้ Godox CS-85D</t>
  </si>
  <si>
    <t>U00005</t>
  </si>
  <si>
    <t>U00006</t>
  </si>
  <si>
    <t>Godox Softbox SB-FW 95 With Grid</t>
  </si>
  <si>
    <t>ซอฟต์บ็อกซ์ Godox SB-FW 95 พร้อมตะแกรง</t>
  </si>
  <si>
    <t>U00007</t>
  </si>
  <si>
    <t>LED BKL -300BI/D Studio Light</t>
  </si>
  <si>
    <t>ไฟสตูดิโอ LED BKL -300BI/D</t>
  </si>
  <si>
    <t>U00008</t>
  </si>
  <si>
    <t>U00009</t>
  </si>
  <si>
    <t>Stainless Steel Light Stand 2.8M</t>
  </si>
  <si>
    <t>ขาตั้งไฟสแตนเลส 2.8 เมตร</t>
  </si>
  <si>
    <t>U00010</t>
  </si>
  <si>
    <t>U00011</t>
  </si>
  <si>
    <t>U00012</t>
  </si>
  <si>
    <t>Godox V1 Speedlight TTL HSS 1/8000s Li-ion Flash</t>
  </si>
  <si>
    <t>แฟลช Godox V1 Speedlight TTL HSS 1/8000s แบตเตอรี่ Li-ion</t>
  </si>
  <si>
    <t>U00013</t>
  </si>
  <si>
    <t>SmallRig Matte Box-Adjustable Clamp VND Filter</t>
  </si>
  <si>
    <t>กล่องบังแสง SmallRig พร้อมที่หนีบปรับได้ และฟิลเตอร์ VND</t>
  </si>
  <si>
    <t>U00014</t>
  </si>
  <si>
    <t>VILTROX AF 35MM F1.7 Portrait Lens</t>
  </si>
  <si>
    <t>เลนส์ถ่ายภาพ</t>
  </si>
  <si>
    <t>U00015</t>
  </si>
  <si>
    <t>U00016</t>
  </si>
  <si>
    <t>DJI Mic Mini Digital Wireless Microphone</t>
  </si>
  <si>
    <t>ไมโครโฟนไร้สายดิจิทัล DJI Mic Mini</t>
  </si>
  <si>
    <t>U00017</t>
  </si>
  <si>
    <t>003/2025</t>
  </si>
  <si>
    <t>31/03/2025</t>
  </si>
  <si>
    <t>Wireless audio transmitter&amp;Earpiece audio cable</t>
  </si>
  <si>
    <t>ตัวส่งสัญญาณเสียงไร้สายและสายหูฟัง</t>
  </si>
  <si>
    <t>U00018</t>
  </si>
  <si>
    <t>010/2025</t>
  </si>
  <si>
    <t>30/10/2025</t>
  </si>
  <si>
    <t>Purchase of Ulanzi B15 RGB LED Tube Light</t>
  </si>
  <si>
    <t>ไฟหลอด LED RGB Ulanzi B15</t>
  </si>
  <si>
    <t>U00019</t>
  </si>
  <si>
    <t>001/2026</t>
  </si>
  <si>
    <t>19/01/2026</t>
  </si>
  <si>
    <t>Cable Labeler Brother PT-E110VP</t>
  </si>
  <si>
    <t>เครื่องติดฉลากสายเคเบิล Brother PT-E110VP</t>
  </si>
  <si>
    <t>U00020</t>
  </si>
  <si>
    <t>19/01/2025</t>
  </si>
  <si>
    <t>Hardisk for Steaming Computer 1Qty</t>
  </si>
  <si>
    <t>ฮาร์ดดิสก์สำหรับคอมพิวเตอร์สตรีมมิ่ง 1 ชิ้น</t>
  </si>
  <si>
    <t>U00021</t>
  </si>
  <si>
    <t>27/01/2026</t>
  </si>
  <si>
    <t>Dry box for Camera Storage</t>
  </si>
  <si>
    <t>กล่องกันความชื้นสำหรับเก็บกล้อง</t>
  </si>
  <si>
    <t>U00022</t>
  </si>
  <si>
    <t>Purchase Of Paper Shredder&amp; Shipping</t>
  </si>
  <si>
    <t>เครื่องทำลายเอกสาร</t>
  </si>
  <si>
    <t>U00023</t>
  </si>
  <si>
    <t>1 Aluminum step ladder for cleaning Hope Channel</t>
  </si>
  <si>
    <t>บรรไดอลูมิเนียม</t>
  </si>
  <si>
    <t>U00024</t>
  </si>
  <si>
    <t>17/02/2026</t>
  </si>
  <si>
    <t xml:space="preserve">Chairs for HC 1/60 black </t>
  </si>
  <si>
    <t>เก้าอี้ 60/1</t>
  </si>
  <si>
    <t>U00025</t>
  </si>
  <si>
    <t xml:space="preserve">Chairs for HC 2/60 black </t>
  </si>
  <si>
    <t>เก้าอี้ 60/2</t>
  </si>
  <si>
    <t>U00026</t>
  </si>
  <si>
    <t xml:space="preserve">Chairs for HC 3/60 black </t>
  </si>
  <si>
    <t>เก้าอี้ 60/3</t>
  </si>
  <si>
    <t>U00027</t>
  </si>
  <si>
    <t xml:space="preserve">Chairs for HC 4/60 black </t>
  </si>
  <si>
    <t>เก้าอี้ 60/4</t>
  </si>
  <si>
    <t>U00028</t>
  </si>
  <si>
    <t xml:space="preserve">Chairs for HC 5/60 black </t>
  </si>
  <si>
    <t>เก้าอี้ 60/5</t>
  </si>
  <si>
    <t>U00029</t>
  </si>
  <si>
    <t xml:space="preserve">Chairs for HC 6/60 black </t>
  </si>
  <si>
    <t>เก้าอี้ 60/6</t>
  </si>
  <si>
    <t>U00030</t>
  </si>
  <si>
    <t xml:space="preserve">Chairs for HC 7/60 black </t>
  </si>
  <si>
    <t>เก้าอี้ 60/7</t>
  </si>
  <si>
    <t>U00031</t>
  </si>
  <si>
    <t xml:space="preserve">Chairs for HC 8/60 black </t>
  </si>
  <si>
    <t>เก้าอี้ 60/8</t>
  </si>
  <si>
    <t>U00032</t>
  </si>
  <si>
    <t xml:space="preserve">Chairs for HC 9/60 black </t>
  </si>
  <si>
    <t>เก้าอี้ 60/9</t>
  </si>
  <si>
    <t>U00033</t>
  </si>
  <si>
    <t xml:space="preserve">Chairs for HC 10/60 black </t>
  </si>
  <si>
    <t>เก้าอี้ 60/10</t>
  </si>
  <si>
    <t>U00034</t>
  </si>
  <si>
    <t xml:space="preserve">Chairs for HC 11/60 black </t>
  </si>
  <si>
    <t>เก้าอี้ 60/11</t>
  </si>
  <si>
    <t>U00035</t>
  </si>
  <si>
    <t xml:space="preserve">Chairs for HC 12/60 black </t>
  </si>
  <si>
    <t>เก้าอี้ 60/12</t>
  </si>
  <si>
    <t>U00036</t>
  </si>
  <si>
    <t xml:space="preserve">Chairs for HC 13/60 black </t>
  </si>
  <si>
    <t>เก้าอี้ 60/13</t>
  </si>
  <si>
    <t>U00037</t>
  </si>
  <si>
    <t xml:space="preserve">Chairs for HC 14/60 black </t>
  </si>
  <si>
    <t>เก้าอี้ 60/14</t>
  </si>
  <si>
    <t>U00038</t>
  </si>
  <si>
    <t xml:space="preserve">Chairs for HC 15/60 black </t>
  </si>
  <si>
    <t>เก้าอี้ 60/15</t>
  </si>
  <si>
    <t>U00039</t>
  </si>
  <si>
    <t xml:space="preserve">Chairs for HC 16/60 black </t>
  </si>
  <si>
    <t>เก้าอี้ 60/16</t>
  </si>
  <si>
    <t>U00040</t>
  </si>
  <si>
    <t xml:space="preserve">Chairs for HC 17/60 black </t>
  </si>
  <si>
    <t>เก้าอี้ 60/17</t>
  </si>
  <si>
    <t>U00041</t>
  </si>
  <si>
    <t xml:space="preserve">Chairs for HC 18/60 black </t>
  </si>
  <si>
    <t>เก้าอี้ 60/18</t>
  </si>
  <si>
    <t>U00042</t>
  </si>
  <si>
    <t xml:space="preserve">Chairs for HC 19/60 black </t>
  </si>
  <si>
    <t>เก้าอี้ 60/19</t>
  </si>
  <si>
    <t>U00043</t>
  </si>
  <si>
    <t xml:space="preserve">Chairs for HC 20/60 black </t>
  </si>
  <si>
    <t>เก้าอี้ 60/20</t>
  </si>
  <si>
    <t>U00044</t>
  </si>
  <si>
    <t xml:space="preserve">Chairs for HC 21/60 black </t>
  </si>
  <si>
    <t>เก้าอี้ 60/21</t>
  </si>
  <si>
    <t>U00045</t>
  </si>
  <si>
    <t xml:space="preserve">Chairs for HC 22/60 black </t>
  </si>
  <si>
    <t>เก้าอี้ 60/22</t>
  </si>
  <si>
    <t>U00046</t>
  </si>
  <si>
    <t xml:space="preserve">Chairs for HC 23/60 black </t>
  </si>
  <si>
    <t>เก้าอี้ 60/23</t>
  </si>
  <si>
    <t>U00047</t>
  </si>
  <si>
    <t xml:space="preserve">Chairs for HC 24/60 black </t>
  </si>
  <si>
    <t>เก้าอี้ 60/24</t>
  </si>
  <si>
    <t>U00048</t>
  </si>
  <si>
    <t xml:space="preserve">Chairs for HC 25/60 black </t>
  </si>
  <si>
    <t>เก้าอี้ 60/25</t>
  </si>
  <si>
    <t>U00049</t>
  </si>
  <si>
    <t xml:space="preserve">Chairs for HC 26/60 black </t>
  </si>
  <si>
    <t>เก้าอี้ 60/26</t>
  </si>
  <si>
    <t>U00050</t>
  </si>
  <si>
    <t xml:space="preserve">Chairs for HC 27/60 black </t>
  </si>
  <si>
    <t>เก้าอี้ 60/27</t>
  </si>
  <si>
    <t>U00051</t>
  </si>
  <si>
    <t xml:space="preserve">Chairs for HC 28/60 black </t>
  </si>
  <si>
    <t>เก้าอี้ 60/28</t>
  </si>
  <si>
    <t>U00052</t>
  </si>
  <si>
    <t xml:space="preserve">Chairs for HC 29/60 black </t>
  </si>
  <si>
    <t>เก้าอี้ 60/29</t>
  </si>
  <si>
    <t>U00053</t>
  </si>
  <si>
    <t xml:space="preserve">Chairs for HC 30/60 black </t>
  </si>
  <si>
    <t>เก้าอี้ 60/30</t>
  </si>
  <si>
    <t>U00054</t>
  </si>
  <si>
    <t xml:space="preserve">Chairs for HC 31/60 black </t>
  </si>
  <si>
    <t>เก้าอี้ 60/31</t>
  </si>
  <si>
    <t>U00055</t>
  </si>
  <si>
    <t xml:space="preserve">Chairs for HC 32/60 black </t>
  </si>
  <si>
    <t>เก้าอี้ 60/32</t>
  </si>
  <si>
    <t>U00056</t>
  </si>
  <si>
    <t xml:space="preserve">Chairs for HC 33/60 black </t>
  </si>
  <si>
    <t>เก้าอี้ 60/33</t>
  </si>
  <si>
    <t>U00057</t>
  </si>
  <si>
    <t xml:space="preserve">Chairs for HC 34/60 black </t>
  </si>
  <si>
    <t>เก้าอี้ 60/34</t>
  </si>
  <si>
    <t>U00058</t>
  </si>
  <si>
    <t xml:space="preserve">Chairs for HC 35/60 black </t>
  </si>
  <si>
    <t>เก้าอี้ 60/35</t>
  </si>
  <si>
    <t>U00059</t>
  </si>
  <si>
    <t xml:space="preserve">Chairs for HC 36/60 black </t>
  </si>
  <si>
    <t>เก้าอี้ 60/36</t>
  </si>
  <si>
    <t>U00060</t>
  </si>
  <si>
    <t xml:space="preserve">Chairs for HC 37/60 black </t>
  </si>
  <si>
    <t>เก้าอี้ 60/37</t>
  </si>
  <si>
    <t>U00061</t>
  </si>
  <si>
    <t xml:space="preserve">Chairs for HC 38/60 black </t>
  </si>
  <si>
    <t>เก้าอี้ 60/38</t>
  </si>
  <si>
    <t>U00062</t>
  </si>
  <si>
    <t xml:space="preserve">Chairs for HC 39/60 black </t>
  </si>
  <si>
    <t>เก้าอี้ 60/39</t>
  </si>
  <si>
    <t>U00063</t>
  </si>
  <si>
    <t xml:space="preserve">Chairs for HC 40/60 black </t>
  </si>
  <si>
    <t>เก้าอี้ 60/40</t>
  </si>
  <si>
    <t>U00064</t>
  </si>
  <si>
    <t xml:space="preserve">Chairs for HC 41/60 black </t>
  </si>
  <si>
    <t>เก้าอี้ 60/41</t>
  </si>
  <si>
    <t>U00065</t>
  </si>
  <si>
    <t xml:space="preserve">Chairs for HC 42/60 black </t>
  </si>
  <si>
    <t>เก้าอี้ 60/42</t>
  </si>
  <si>
    <t>U00066</t>
  </si>
  <si>
    <t xml:space="preserve">Chairs for HC 43/60 black </t>
  </si>
  <si>
    <t>เก้าอี้ 60/43</t>
  </si>
  <si>
    <t>U00067</t>
  </si>
  <si>
    <t xml:space="preserve">Chairs for HC 44/60 black </t>
  </si>
  <si>
    <t>เก้าอี้ 60/44</t>
  </si>
  <si>
    <t>U00068</t>
  </si>
  <si>
    <t xml:space="preserve">Chairs for HC 45/60 black </t>
  </si>
  <si>
    <t>เก้าอี้ 60/45</t>
  </si>
  <si>
    <t>U00069</t>
  </si>
  <si>
    <t xml:space="preserve">Chairs for HC 46/60 black </t>
  </si>
  <si>
    <t>เก้าอี้ 60/46</t>
  </si>
  <si>
    <t>U00070</t>
  </si>
  <si>
    <t xml:space="preserve">Chairs for HC 47/60 black </t>
  </si>
  <si>
    <t>เก้าอี้ 60/47</t>
  </si>
  <si>
    <t>U00071</t>
  </si>
  <si>
    <t xml:space="preserve">Chairs for HC 48/60 black </t>
  </si>
  <si>
    <t>เก้าอี้ 60/48</t>
  </si>
  <si>
    <t>U00072</t>
  </si>
  <si>
    <t xml:space="preserve">Chairs for HC 49/60 black </t>
  </si>
  <si>
    <t>เก้าอี้ 60/49</t>
  </si>
  <si>
    <t>U00073</t>
  </si>
  <si>
    <t xml:space="preserve">Chairs for HC 50/60 black </t>
  </si>
  <si>
    <t>เก้าอี้ 60/50</t>
  </si>
  <si>
    <t>U00074</t>
  </si>
  <si>
    <t xml:space="preserve">Chairs for HC 51/60 black </t>
  </si>
  <si>
    <t>เก้าอี้ 60/51</t>
  </si>
  <si>
    <t>U00075</t>
  </si>
  <si>
    <t xml:space="preserve">Chairs for HC 52/60 black </t>
  </si>
  <si>
    <t>เก้าอี้ 60/52</t>
  </si>
  <si>
    <t>U00076</t>
  </si>
  <si>
    <t xml:space="preserve">Chairs for HC 53/60 black </t>
  </si>
  <si>
    <t>เก้าอี้ 60/53</t>
  </si>
  <si>
    <t>U00077</t>
  </si>
  <si>
    <t xml:space="preserve">Chairs for HC 54/60 black </t>
  </si>
  <si>
    <t>เก้าอี้ 60/54</t>
  </si>
  <si>
    <t>U00078</t>
  </si>
  <si>
    <t xml:space="preserve">Chairs for HC 55/60 black </t>
  </si>
  <si>
    <t>เก้าอี้ 60/55</t>
  </si>
  <si>
    <t>U00079</t>
  </si>
  <si>
    <t xml:space="preserve">Chairs for HC 56/60 black </t>
  </si>
  <si>
    <t>เก้าอี้ 60/56</t>
  </si>
  <si>
    <t>U00080</t>
  </si>
  <si>
    <t xml:space="preserve">Chairs for HC 57/60 black </t>
  </si>
  <si>
    <t>เก้าอี้ 60/57</t>
  </si>
  <si>
    <t>U00081</t>
  </si>
  <si>
    <t xml:space="preserve">Chairs for HC 58/60 black </t>
  </si>
  <si>
    <t>เก้าอี้ 60/58</t>
  </si>
  <si>
    <t>U00082</t>
  </si>
  <si>
    <t xml:space="preserve">Chairs for HC 59/60 black </t>
  </si>
  <si>
    <t>เก้าอี้ 60/59</t>
  </si>
  <si>
    <t>U00083</t>
  </si>
  <si>
    <t xml:space="preserve">Chairs for HC 60/60 black </t>
  </si>
  <si>
    <t>เก้าอี้ 60/60</t>
  </si>
  <si>
    <t>U00084</t>
  </si>
  <si>
    <t>23/02/2026</t>
  </si>
  <si>
    <t>Purchase office Big calculator</t>
  </si>
  <si>
    <t>เครื่องคิดเลขขนาดใหญ่</t>
  </si>
  <si>
    <t>U00085</t>
  </si>
  <si>
    <t>17/03/2026</t>
  </si>
  <si>
    <t>Table for Studio-Titan HDPE WT/GY 1/8</t>
  </si>
  <si>
    <t>โต๊ะ 8/1</t>
  </si>
  <si>
    <t>U00086</t>
  </si>
  <si>
    <t>Table for Studio-Titan HDPE WT/GY 2/8</t>
  </si>
  <si>
    <t>โต๊ะ 8/2</t>
  </si>
  <si>
    <t>U00087</t>
  </si>
  <si>
    <t>Table for Studio-Titan HDPE WT/GY 3/8</t>
  </si>
  <si>
    <t>โต๊ะ 8/3</t>
  </si>
  <si>
    <t>U00088</t>
  </si>
  <si>
    <t>Table for Studio-Titan HDPE WT/GY 4/8</t>
  </si>
  <si>
    <t>โต๊ะ 8/4</t>
  </si>
  <si>
    <t>U00089</t>
  </si>
  <si>
    <t>Table for Studio-Titan HDPE WT/GY 5/8</t>
  </si>
  <si>
    <t>โต๊ะ 8/5</t>
  </si>
  <si>
    <t>U00090</t>
  </si>
  <si>
    <t>Table for Studio-Titan HDPE WT/GY 6/8</t>
  </si>
  <si>
    <t>โต๊ะ 8/6</t>
  </si>
  <si>
    <t>U00091</t>
  </si>
  <si>
    <t>Table for Studio-Titan HDPE WT/GY 7/8</t>
  </si>
  <si>
    <t>โต๊ะ 8/7</t>
  </si>
  <si>
    <t>U00092</t>
  </si>
  <si>
    <t>Table for Studio-Titan HDPE WT/GY 8/8</t>
  </si>
  <si>
    <t>โต๊ะ 8/8</t>
  </si>
  <si>
    <t>U00093</t>
  </si>
  <si>
    <t>Clothes rack</t>
  </si>
  <si>
    <t>ราวแขวนเสื้อผ้า</t>
  </si>
  <si>
    <t>U00094</t>
  </si>
  <si>
    <t>4-Drawer Cabinet for Office 1/2</t>
  </si>
  <si>
    <t>ตู้ลิ้นชัก 4 ชั้น</t>
  </si>
  <si>
    <t>U00095</t>
  </si>
  <si>
    <t>4-Drawer Cabinet for Office 2/2</t>
  </si>
  <si>
    <t>U00096</t>
  </si>
  <si>
    <t>Studio Coffee Table</t>
  </si>
  <si>
    <t>โต๊ะกาแฟ</t>
  </si>
  <si>
    <t>U00097</t>
  </si>
  <si>
    <t>006/2026</t>
  </si>
  <si>
    <t>30/06/2026</t>
  </si>
  <si>
    <t>4 Core Star Quad Microphone Cable 100M/Box 1/2</t>
  </si>
  <si>
    <t>สายไมโครโฟนแบบ 4 แกน  100 เมตร/กล่อง</t>
  </si>
  <si>
    <t>U00098</t>
  </si>
  <si>
    <t>4 Core Star Quad Microphone Cable 100M/Box 2/2</t>
  </si>
  <si>
    <t>U00099</t>
  </si>
  <si>
    <t>Small Rig Aluminum Alloy Tripod AD-50 Lite4684</t>
  </si>
  <si>
    <t>ขาตั้งกล้อง Smallrig รุ่น AD-50 Lite (วัสดุอลูมิเนียมอัลลอย) 4684</t>
  </si>
  <si>
    <t>U00100</t>
  </si>
  <si>
    <t>U00101</t>
  </si>
  <si>
    <t>U00102</t>
  </si>
  <si>
    <t>U00103</t>
  </si>
  <si>
    <t>007/2026</t>
  </si>
  <si>
    <t>31/07/2026</t>
  </si>
  <si>
    <t>Camera Case: Equipement Haed Case</t>
  </si>
  <si>
    <t>กระเป๋ากล้อง: เคสใส่อุปกรณ์แบบแข็ง</t>
  </si>
  <si>
    <t>Totals</t>
  </si>
  <si>
    <t>Asset List 2017-2019</t>
  </si>
  <si>
    <t>Fixture &amp; Furniture as of December 2025</t>
  </si>
  <si>
    <t>Transaction</t>
  </si>
  <si>
    <t>Reference</t>
  </si>
  <si>
    <t>คำอธิบาย</t>
  </si>
  <si>
    <t>Location&amp;Who</t>
  </si>
  <si>
    <t>Cost (SGD)</t>
  </si>
  <si>
    <t xml:space="preserve">THB </t>
  </si>
  <si>
    <t>HC00001</t>
  </si>
  <si>
    <t>Apple MacBook</t>
  </si>
  <si>
    <t>2017/009</t>
  </si>
  <si>
    <t>1709-1609</t>
  </si>
  <si>
    <t>APPLE LAPTOP COMPUTER FOR DANIEL MUñOZ</t>
  </si>
  <si>
    <t xml:space="preserve">คอมพิวเตอร์แล็ปท็อป Apple สำหรับ DANIEL </t>
  </si>
  <si>
    <t>REMOVE</t>
  </si>
  <si>
    <t>HC00002</t>
  </si>
  <si>
    <t>Bed</t>
  </si>
  <si>
    <t>2018/011</t>
  </si>
  <si>
    <t>C18-002791</t>
  </si>
  <si>
    <t>6 BEDROOM SIDE TABLES FOR 3  GUESTROOM 1</t>
  </si>
  <si>
    <t>โต๊ะข้างเตียง สำหรับห้องพักแขก 3 ห้อง 6 ตัว 1</t>
  </si>
  <si>
    <t>HC00003</t>
  </si>
  <si>
    <t>6 BEDROOM SIDE TABLES FOR 3  GUESTROOM 2</t>
  </si>
  <si>
    <t>โต๊ะข้างเตียง สำหรับห้องพักแขก 3 ห้อง 6 ตัว 2</t>
  </si>
  <si>
    <t>HC00004</t>
  </si>
  <si>
    <t>6 BEDROOM SIDE TABLES FOR 3  GUESTROOM 3</t>
  </si>
  <si>
    <t>โต๊ะข้างเตียง สำหรับห้องพักแขก 3 ห้อง 6 ตัว 3</t>
  </si>
  <si>
    <t>HC00005</t>
  </si>
  <si>
    <t>6 BEDROOM SIDE TABLES FOR 3  GUESTROOM 4</t>
  </si>
  <si>
    <t>โต๊ะข้างเตียง สำหรับห้องพักแขก 3 ห้อง 6 ตัว 4</t>
  </si>
  <si>
    <t>HC00006</t>
  </si>
  <si>
    <t>6 BEDROOM SIDE TABLES FOR 3  GUESTROOM 5</t>
  </si>
  <si>
    <t>โต๊ะข้างเตียง สำหรับห้องพักแขก 3 ห้อง 6 ตัว 5</t>
  </si>
  <si>
    <t>HC00007</t>
  </si>
  <si>
    <t>6 BEDROOM SIDE TABLES FOR 3  GUESTROOM 6</t>
  </si>
  <si>
    <t>โต๊ะข้างเตียง สำหรับห้องพักแขก 3 ห้อง 6 ตัว 6</t>
  </si>
  <si>
    <t>HC00008</t>
  </si>
  <si>
    <t>Bedding</t>
  </si>
  <si>
    <t>2019/001</t>
  </si>
  <si>
    <t>C19-002849</t>
  </si>
  <si>
    <t>BEDDINGS AND REL EXP FOR  GUESROOMS ETC</t>
  </si>
  <si>
    <t>ชุดเครื่องนอนสำหรับห้องพัก</t>
  </si>
  <si>
    <t>HC00009</t>
  </si>
  <si>
    <t>Cabinet</t>
  </si>
  <si>
    <t>2018/012</t>
  </si>
  <si>
    <t>1812-1991</t>
  </si>
  <si>
    <t>FILE CABINETS FOR  (3 UNITS)</t>
  </si>
  <si>
    <t>ตู้เก็บเอกสาร (3 ตัว) 1</t>
  </si>
  <si>
    <t>HC00010</t>
  </si>
  <si>
    <t>ตู้เก็บเอกสาร (3 ตัว) 2</t>
  </si>
  <si>
    <t>HC00011</t>
  </si>
  <si>
    <t>ตู้เก็บเอกสาร (3 ตัว) 3</t>
  </si>
  <si>
    <t>HC00012</t>
  </si>
  <si>
    <t>2017/010</t>
  </si>
  <si>
    <t>C17-002401</t>
  </si>
  <si>
    <t>SONY PXW-Z150 VIDEO CAMERA (1of2)</t>
  </si>
  <si>
    <t>กล้องวิดีโอ SONY PXW-Z150  ตัวที่ 1</t>
  </si>
  <si>
    <t>HC00013</t>
  </si>
  <si>
    <t>SONY PXW-Z150 VIDEO CAMERA (2of2)</t>
  </si>
  <si>
    <t>SONY PXW-Z150 กล้องวิดีโอ ตัวที่ 2</t>
  </si>
  <si>
    <t>HC00014</t>
  </si>
  <si>
    <t>SONY PXW-Z150 VIDEO CAMERA FOR  (1of2)</t>
  </si>
  <si>
    <t>กล้องวิดีโอ SONY PXW-Z150 ตัวที่ 1</t>
  </si>
  <si>
    <t>HC00015</t>
  </si>
  <si>
    <t>SONY PXW-Z150 VIDEO CAMERA FOR  (2of2)</t>
  </si>
  <si>
    <t>กล้องวิดีโอ SONY PXW-Z150 ตัวที่ 2</t>
  </si>
  <si>
    <t>HC00016</t>
  </si>
  <si>
    <t>2019/009</t>
  </si>
  <si>
    <t>C19-003108</t>
  </si>
  <si>
    <t>กล้องดิจิตอลมิเรอร์เลส SONY A7 III</t>
  </si>
  <si>
    <t>HC00017</t>
  </si>
  <si>
    <t xml:space="preserve">Cast Light </t>
  </si>
  <si>
    <t>C17-002400</t>
  </si>
  <si>
    <t>BRIGHT CAST LIGHT FOR  (1of3)</t>
  </si>
  <si>
    <t>ไฟส่องสว่าง ตัวที่ 1</t>
  </si>
  <si>
    <t>HC00018</t>
  </si>
  <si>
    <t>BRIGHT CAST LIGHT FOR  (2of3)</t>
  </si>
  <si>
    <t>ไฟส่องสว่าง ตัวที่ 2</t>
  </si>
  <si>
    <t>HC00019</t>
  </si>
  <si>
    <t>BRIGHT CAST LIGHT FOR  (3of3)</t>
  </si>
  <si>
    <t>ไฟส่องสว่าง ตัวที่ 3</t>
  </si>
  <si>
    <t>HC00020</t>
  </si>
  <si>
    <t>Chair</t>
  </si>
  <si>
    <t>1812-1968</t>
  </si>
  <si>
    <t>ARM CHAIRS 10 UNITS - 1</t>
  </si>
  <si>
    <t>เก้าอี้มีที่วางแขน 10 ตัว 1</t>
  </si>
  <si>
    <t>HC00021</t>
  </si>
  <si>
    <t>ARM CHAIRS 10 UNITS - 2</t>
  </si>
  <si>
    <t>เก้าอี้มีที่วางแขน 10 ตัว 2</t>
  </si>
  <si>
    <t>HC00022</t>
  </si>
  <si>
    <t>ARM CHAIRS 10 UNITS - 3</t>
  </si>
  <si>
    <t>เก้าอี้มีที่วางแขน 10 ตัว 3</t>
  </si>
  <si>
    <t>HC00023</t>
  </si>
  <si>
    <t>ARM CHAIRS 10 UNITS - 4</t>
  </si>
  <si>
    <t>เก้าอี้มีที่วางแขน 10 ตัว 4</t>
  </si>
  <si>
    <t>HC00024</t>
  </si>
  <si>
    <t>ARM CHAIRS 10 UNITS - 5</t>
  </si>
  <si>
    <t>เก้าอี้มีที่วางแขน 10 ตัว 5</t>
  </si>
  <si>
    <t>HC00025</t>
  </si>
  <si>
    <t>ARM CHAIRS 10 UNITS - 6</t>
  </si>
  <si>
    <t>เก้าอี้มีที่วางแขน 10 ตัว 6</t>
  </si>
  <si>
    <t>HC00026</t>
  </si>
  <si>
    <t>ARM CHAIRS 10 UNITS - 7</t>
  </si>
  <si>
    <t>เก้าอี้มีที่วางแขน 10 ตัว 7</t>
  </si>
  <si>
    <t>HC00027</t>
  </si>
  <si>
    <t>ARM CHAIRS 10 UNITS - 8</t>
  </si>
  <si>
    <t>เก้าอี้มีที่วางแขน 10 ตัว 8</t>
  </si>
  <si>
    <t>HC00028</t>
  </si>
  <si>
    <t>ARM CHAIRS 10 UNITS - 9</t>
  </si>
  <si>
    <t>เก้าอี้มีที่วางแขน 10 ตัว 9</t>
  </si>
  <si>
    <t>HC00029</t>
  </si>
  <si>
    <t>ARM CHAIRS 10 UNITS - 10</t>
  </si>
  <si>
    <t>เก้าอี้มีที่วางแขน 10 ตัว 10</t>
  </si>
  <si>
    <t>HC00030</t>
  </si>
  <si>
    <t>HEADREST CHAIRS 10 UNITS - 1</t>
  </si>
  <si>
    <t>เก้าอี้พนักพิงศีรษะ 10 ตัว 1</t>
  </si>
  <si>
    <t>HC00031</t>
  </si>
  <si>
    <t>HEADREST CHAIRS 10 UNITS - 2</t>
  </si>
  <si>
    <t>เก้าอี้พนักพิงศีรษะ 10 ตัว 2</t>
  </si>
  <si>
    <t>HC00032</t>
  </si>
  <si>
    <t>HEADREST CHAIRS 10 UNITS - 3</t>
  </si>
  <si>
    <t>เก้าอี้พนักพิงศีรษะ 10 ตัว 3</t>
  </si>
  <si>
    <t>HC00033</t>
  </si>
  <si>
    <t>HEADREST CHAIRS 10 UNITS - 4</t>
  </si>
  <si>
    <t>เก้าอี้พนักพิงศีรษะ 10 ตัว 4</t>
  </si>
  <si>
    <t>HC00034</t>
  </si>
  <si>
    <t>HEADREST CHAIRS 10 UNITS - 5</t>
  </si>
  <si>
    <t>เก้าอี้พนักพิงศีรษะ 10 ตัว 5</t>
  </si>
  <si>
    <t>HC00035</t>
  </si>
  <si>
    <t>HEADREST CHAIRS 10 UNITS - 6</t>
  </si>
  <si>
    <t>เก้าอี้พนักพิงศีรษะ 10 ตัว 6</t>
  </si>
  <si>
    <t>HC00036</t>
  </si>
  <si>
    <t>HEADREST CHAIRS 10 UNITS - 7</t>
  </si>
  <si>
    <t>เก้าอี้พนักพิงศีรษะ 10 ตัว 7</t>
  </si>
  <si>
    <t>HC00037</t>
  </si>
  <si>
    <t>HEADREST CHAIRS 10 UNITS - 8</t>
  </si>
  <si>
    <t>เก้าอี้พนักพิงศีรษะ 10 ตัว 8</t>
  </si>
  <si>
    <t>HC00038</t>
  </si>
  <si>
    <t>HEADREST CHAIRS 10 UNITS - 9</t>
  </si>
  <si>
    <t>เก้าอี้พนักพิงศีรษะ 10 ตัว 9</t>
  </si>
  <si>
    <t>HC00039</t>
  </si>
  <si>
    <t>HEADREST CHAIRS 10 UNITS - 10</t>
  </si>
  <si>
    <t>เก้าอี้พนักพิงศีรษะ 10 ตัว 10</t>
  </si>
  <si>
    <t>HC00040</t>
  </si>
  <si>
    <t>SWIVEL CHAIRS FOR  - 7 UNITS</t>
  </si>
  <si>
    <t>เก้าอี้หมุน 7 ตัว 1</t>
  </si>
  <si>
    <t>HC00041</t>
  </si>
  <si>
    <t>เก้าอี้หมุน 7 ตัว 2</t>
  </si>
  <si>
    <t>HC00042</t>
  </si>
  <si>
    <t>เก้าอี้หมุน 7 ตัว 3</t>
  </si>
  <si>
    <t>HC00043</t>
  </si>
  <si>
    <t>เก้าอี้หมุน 7 ตัว 4</t>
  </si>
  <si>
    <t>HC00044</t>
  </si>
  <si>
    <t>เก้าอี้หมุน 7 ตัว 5</t>
  </si>
  <si>
    <t>HC00045</t>
  </si>
  <si>
    <t>เก้าอี้หมุน 7 ตัว 6</t>
  </si>
  <si>
    <t>HC00046</t>
  </si>
  <si>
    <t>เก้าอี้หมุน 7 ตัว 7</t>
  </si>
  <si>
    <t>HC00047</t>
  </si>
  <si>
    <t>2019/006</t>
  </si>
  <si>
    <t>C19-002992</t>
  </si>
  <si>
    <t xml:space="preserve">MARKUS SWIVEL CHAIRS (3 UNITS) </t>
  </si>
  <si>
    <t>เก้าอี้หมุน MARKUS 3 ตัว 1</t>
  </si>
  <si>
    <t>HC00048</t>
  </si>
  <si>
    <t>เก้าอี้หมุน MARKUS 3 ตัว 2</t>
  </si>
  <si>
    <t>HC00049</t>
  </si>
  <si>
    <t>เก้าอี้หมุน MARKUS 3 ตัว 3</t>
  </si>
  <si>
    <t>HC00050</t>
  </si>
  <si>
    <t>1909-1273</t>
  </si>
  <si>
    <t>II UNITS OF CHAIRS FOR  -MUAKLEK</t>
  </si>
  <si>
    <t>เก้าอี้ 2 ตัว  1</t>
  </si>
  <si>
    <t>Duplicate record E00014</t>
  </si>
  <si>
    <t>HC00051</t>
  </si>
  <si>
    <t>เก้าอี้ 2 ตัว  2</t>
  </si>
  <si>
    <t>Duplicate record E00015</t>
  </si>
  <si>
    <t>HC00052</t>
  </si>
  <si>
    <t>Desk</t>
  </si>
  <si>
    <t>TWIN DESKS (BEIGE)</t>
  </si>
  <si>
    <t>โต๊ะทำงานคู่ (สีเบจ)</t>
  </si>
  <si>
    <t>HC00053</t>
  </si>
  <si>
    <t xml:space="preserve">TWIN DESKS (WALNUT) </t>
  </si>
  <si>
    <t>โต๊ะทำงานคู่ (สีวอลนัท)</t>
  </si>
  <si>
    <t>HC00054</t>
  </si>
  <si>
    <t>ELECTRIC FAN</t>
  </si>
  <si>
    <t>2018/001</t>
  </si>
  <si>
    <t>C18-002500</t>
  </si>
  <si>
    <t>ELECTRIC FAN FOR HOPE CHANNEL(SAUM)</t>
  </si>
  <si>
    <t>พัดลมไฟฟ้า HOPE CHANNEL (SAUM)</t>
  </si>
  <si>
    <t>HC00055</t>
  </si>
  <si>
    <t>IT</t>
  </si>
  <si>
    <t>2019/007</t>
  </si>
  <si>
    <t>C19-003058</t>
  </si>
  <si>
    <t>ZOOM H6 HANDY RECORDER</t>
  </si>
  <si>
    <t>เครื่องบันทึก ZOOM H6 HANDY</t>
  </si>
  <si>
    <t>HC00056</t>
  </si>
  <si>
    <t>C18-002487</t>
  </si>
  <si>
    <t>CLAPPERBOARD</t>
  </si>
  <si>
    <t>แผ่นปิดเสียง คัท</t>
  </si>
  <si>
    <t>HC00057</t>
  </si>
  <si>
    <t>2018/005</t>
  </si>
  <si>
    <t>1805-0708.9</t>
  </si>
  <si>
    <t>UPS FOR - DANIEL</t>
  </si>
  <si>
    <t>เครื่องสำรองไฟ - DANIEL</t>
  </si>
  <si>
    <t>HC00058</t>
  </si>
  <si>
    <t>CINE/VIDEO DOLLY W/ SPIKED FEED - 2 UNITS</t>
  </si>
  <si>
    <t>รถเข็น CINE/VIDEO พร้อมฟีดแบบมีหนาม - 2 ตัว 1</t>
  </si>
  <si>
    <t>HC00059</t>
  </si>
  <si>
    <t>รถเข็น CINE/VIDEO พร้อมฟีดแบบมีหนาม - 2 ตัว 2</t>
  </si>
  <si>
    <t>HC00060</t>
  </si>
  <si>
    <t>MANFROTTO REC/ZOOM CLAMP POWER REMOTE - 6 UNITS</t>
  </si>
  <si>
    <t>รีโมท MANFROTTO REC/ZOOM CLAMP - 6 ชุด 1</t>
  </si>
  <si>
    <t>HC00061</t>
  </si>
  <si>
    <t>รีโมท MANFROTTO REC/ZOOM CLAMP - 6 ชุด 2</t>
  </si>
  <si>
    <t>HC00062</t>
  </si>
  <si>
    <t>รีโมท MANFROTTO REC/ZOOM CLAMP - 6 ชุด 3</t>
  </si>
  <si>
    <t>HC00063</t>
  </si>
  <si>
    <t>รีโมท MANFROTTO REC/ZOOM CLAMP - 6 ชุด 4</t>
  </si>
  <si>
    <t>HC00064</t>
  </si>
  <si>
    <t>รีโมท MANFROTTO REC/ZOOM CLAMP - 6 ชุด 5</t>
  </si>
  <si>
    <t>HC00065</t>
  </si>
  <si>
    <t>รีโมท MANFROTTO REC/ZOOM CLAMP - 6 ชุด 6</t>
  </si>
  <si>
    <t>HC00066</t>
  </si>
  <si>
    <t>C19-003100</t>
  </si>
  <si>
    <t>ATOMOS SHINOBISDI HDR PRO MONITOR FOR -3PCS</t>
  </si>
  <si>
    <t>จอภาพ ATOMOS SHINOBISDI HDR PRO สำหรับ -3 ชิ้น 1</t>
  </si>
  <si>
    <t>HC00067</t>
  </si>
  <si>
    <t>จอภาพ ATOMOS SHINOBISDI HDR PRO สำหรับ -3 ชิ้น 2</t>
  </si>
  <si>
    <t>HC00068</t>
  </si>
  <si>
    <t>จอภาพ ATOMOS SHINOBISDI HDR PRO สำหรับ -3 ชิ้น 3</t>
  </si>
  <si>
    <t>HC00069</t>
  </si>
  <si>
    <t>SONY MDR-7506 HEADPHONE FOR  (4 UNITS)</t>
  </si>
  <si>
    <t>หูฟัง SONY MDR-7506 (4 ชิ้น) 1</t>
  </si>
  <si>
    <t>HC00070</t>
  </si>
  <si>
    <t>หูฟัง SONY MDR-7506 (4 ชิ้น) 2</t>
  </si>
  <si>
    <t>HC00071</t>
  </si>
  <si>
    <t>หูฟัง SONY MDR-7506 (4 ชิ้น) 3</t>
  </si>
  <si>
    <t>HC00072</t>
  </si>
  <si>
    <t>หูฟัง SONY MDR-7506 (4 ชิ้น) 4</t>
  </si>
  <si>
    <t>HC00073</t>
  </si>
  <si>
    <t>JBL PARTYBOX SPEAKERS - 2 UNITS   -MUAKLEK 1/2</t>
  </si>
  <si>
    <t>ลำโพง JBL PARTYBOX - 2 ตัว สำหรับ -มวกเหล็ก 1</t>
  </si>
  <si>
    <t>HC00074</t>
  </si>
  <si>
    <t>JBL PARTYBOX SPEAKERS - 2 UNITS   -MUAKLEK  2/2</t>
  </si>
  <si>
    <t>ลำโพง JBL PARTYBOX - 2 ตัว สำหรับ -มวกเหล็ก 2</t>
  </si>
  <si>
    <t>HC00075</t>
  </si>
  <si>
    <t>2017/005</t>
  </si>
  <si>
    <t>C17-002271</t>
  </si>
  <si>
    <t>DATAVIDEO TP-300 (TABLET PROMPTER) 1 OF 2</t>
  </si>
  <si>
    <t>DATAVIDEO TP-300 (ตัวแสดงข้อความบนแท็บเล็ต) 1 จาก 2</t>
  </si>
  <si>
    <t>HC00076</t>
  </si>
  <si>
    <t>DATAVIDEO TP-300 (TABLET PROMPTER) 2 OF 2</t>
  </si>
  <si>
    <t>DATAVIDEO TP-300 (ตัวแสดงข้อความบนแท็บเล็ต) 2 จาก 2</t>
  </si>
  <si>
    <t>HC00077</t>
  </si>
  <si>
    <t xml:space="preserve">TERADEK VIDIU PRO STREAMING DEVICE FOR </t>
  </si>
  <si>
    <t>อุปกรณ์สตรีมมิ่ง TERADEK VIDIU PRO สำหรับ</t>
  </si>
  <si>
    <t>HC00078</t>
  </si>
  <si>
    <t>C19-003059</t>
  </si>
  <si>
    <t>EARTEC WIRELESS INTERCOM HEADSET</t>
  </si>
  <si>
    <t>ชุดหูฟังอินเตอร์คอมไร้สาย EARTEC</t>
  </si>
  <si>
    <t>HC00079</t>
  </si>
  <si>
    <t>2019/010</t>
  </si>
  <si>
    <t>C19-003132</t>
  </si>
  <si>
    <t>ZEISS BATIS 40MM F/2 CF LENS</t>
  </si>
  <si>
    <t>เลนส์ Zeiss BATIS 40 มม. F/2 CF</t>
  </si>
  <si>
    <t>HC00080</t>
  </si>
  <si>
    <t>IT Microphone</t>
  </si>
  <si>
    <t>DEITY VIDEO MICROPHONE PRO</t>
  </si>
  <si>
    <t>ไมโครโฟนวิดีโอ DEITY รุ่น PRO</t>
  </si>
  <si>
    <t>HC00081</t>
  </si>
  <si>
    <t>SENNHEISER WIRELESS MICROPHONE - 5 UNITS 1/5</t>
  </si>
  <si>
    <t>ไมโครโฟนไร้สาย SENNHEISER - 5 ชุด 1</t>
  </si>
  <si>
    <t>HC00082</t>
  </si>
  <si>
    <t>SENNHEISER WIRELESS MICROPHONE - 5 UNITS 2/5</t>
  </si>
  <si>
    <t>ไมโครโฟนไร้สาย SENNHEISER - 5 ชุด 2</t>
  </si>
  <si>
    <t>HC00083</t>
  </si>
  <si>
    <t>SENNHEISER WIRELESS MICROPHONE - 5 UNITS 3/5</t>
  </si>
  <si>
    <t>ไมโครโฟนไร้สาย SENNHEISER - 5 ชุด 3</t>
  </si>
  <si>
    <t>HC00084</t>
  </si>
  <si>
    <t>SENNHEISER WIRELESS MICROPHONE - 5 UNITS 4/5</t>
  </si>
  <si>
    <t>ไมโครโฟนไร้สาย SENNHEISER - 5 ชุด 4</t>
  </si>
  <si>
    <t>HC00085</t>
  </si>
  <si>
    <t>SENNHEISER WIRELESS MICROPHONE - 5 UNITS 5/5</t>
  </si>
  <si>
    <t>ไมโครโฟนไร้สาย SENNHEISER - 5 ชุด 5</t>
  </si>
  <si>
    <t>HC00086</t>
  </si>
  <si>
    <t>C17-002403</t>
  </si>
  <si>
    <t>SONY UWP WIRELESS MICROPHONE FOR  (1of2)</t>
  </si>
  <si>
    <t>ไมโครโฟนไร้สาย SONY UWP ตัวที่ 1</t>
  </si>
  <si>
    <t>HC00087</t>
  </si>
  <si>
    <t>SONY UWP WIRELESS MICROPHONE FOR  (2of2)</t>
  </si>
  <si>
    <t>ไมโครโฟนไร้สาย SONY UWP ตัวที่ 2</t>
  </si>
  <si>
    <t>HC00088</t>
  </si>
  <si>
    <t>IT Stands</t>
  </si>
  <si>
    <t>MANFROTTO 502HD 546BQ TRIPOD (1of2)</t>
  </si>
  <si>
    <t>ขาตั้งกล้อง MANFROTTO 502HD 546BQ (1 จาก 2)</t>
  </si>
  <si>
    <t>HC00089</t>
  </si>
  <si>
    <t>MANFROTTO 502HD 546BQ TRIPOD (2of2)</t>
  </si>
  <si>
    <t>ขาตั้งกล้อง MANFROTTO 502HD 546BQ (2 จาก 2)</t>
  </si>
  <si>
    <t>HC00090</t>
  </si>
  <si>
    <t>MANFROTTO  NITROTECH N12  TRIPOD (1of2)</t>
  </si>
  <si>
    <t>ขาตั้งกล้อง MANFROTTO NITROTECH N12 (1 ใน 2)</t>
  </si>
  <si>
    <t>HC00091</t>
  </si>
  <si>
    <t>MANFROTTO  NITROTECH N12  TRIPOD (2of2)</t>
  </si>
  <si>
    <t>ขาตั้งกล้อง MANFROTTO NITROTECH N12 (2 ใน 2)</t>
  </si>
  <si>
    <t>HC00092</t>
  </si>
  <si>
    <t>MANFROTTO 114MV VIDEO DOLLY/TRIPOD</t>
  </si>
  <si>
    <t>ขาตั้งกล้อง/ดอลลี่วิดีโอ MANFROTTO 114MV</t>
  </si>
  <si>
    <t>HC00093</t>
  </si>
  <si>
    <t>MANFROTTO 504 "HDV"SERIES KIT TRIPOD. 1of2</t>
  </si>
  <si>
    <t>ขาตั้งกล้อง MANFROTTO 504 "HDV" ซีรีส์ 1 ใน 2</t>
  </si>
  <si>
    <t>HC00094</t>
  </si>
  <si>
    <t>MANFROTTO 504 "HDV"SERIES KIT TRIPOD. 2of2</t>
  </si>
  <si>
    <t>ขาตั้งกล้อง MANFROTTO 504 "HDV" ซีรีส์ 2 ใน 2</t>
  </si>
  <si>
    <t>HC00095</t>
  </si>
  <si>
    <t>OVEN AND MICROWAVE - -MUAKLEK</t>
  </si>
  <si>
    <t>เตาอบและไมโครเวฟ - -มวกเหล็ก</t>
  </si>
  <si>
    <t>HC00096</t>
  </si>
  <si>
    <t>SENNHEISER CONDENSER MICROPHONE RYCOTE KIT</t>
  </si>
  <si>
    <t>ชุดไมโครโฟนคอนเดนเซอร์ SENNHEISER RYCOTE</t>
  </si>
  <si>
    <t>HC00097</t>
  </si>
  <si>
    <t>2019/005</t>
  </si>
  <si>
    <t>C19-002972</t>
  </si>
  <si>
    <t>BLACKMAGIC VIDEO ASSIST MONITOR - HC-AIU</t>
  </si>
  <si>
    <t>จอภาพ Blackmagic Video Assist - HC-AIU</t>
  </si>
  <si>
    <t>HC00098</t>
  </si>
  <si>
    <t>Monitor Dell</t>
  </si>
  <si>
    <t>DELL 21.5 MONITOR FOR -MUAKLEK</t>
  </si>
  <si>
    <t>จอภาพ DELL 21.5 สำหรับ -MUAKLEK</t>
  </si>
  <si>
    <t>HC00099</t>
  </si>
  <si>
    <t>Monitor LG</t>
  </si>
  <si>
    <t>I/G MONITOR</t>
  </si>
  <si>
    <t>จอภาพ I/G</t>
  </si>
  <si>
    <t>HC00100</t>
  </si>
  <si>
    <t>C17-002414</t>
  </si>
  <si>
    <t xml:space="preserve">LG 27 LED MONITOR </t>
  </si>
  <si>
    <t>จอภาพ LED LG 27 นิ้ว</t>
  </si>
  <si>
    <t>HC00101</t>
  </si>
  <si>
    <t>Printer</t>
  </si>
  <si>
    <t>2018/010</t>
  </si>
  <si>
    <t>1810-1470</t>
  </si>
  <si>
    <t xml:space="preserve">PRINTER AND OTHER SMALL EQUIPMENTS FOR </t>
  </si>
  <si>
    <t xml:space="preserve">เครื่องพิมพ์และอุปกรณ์ขนาดเล็กอื่นๆ </t>
  </si>
  <si>
    <t>HC00102</t>
  </si>
  <si>
    <t>Refrigerator/Guestroom</t>
  </si>
  <si>
    <t>C18-002812</t>
  </si>
  <si>
    <t xml:space="preserve">GUESTROOM REFRIGERATOR FOR </t>
  </si>
  <si>
    <t>ตู้เย็นสำหรับห้องพักแขก</t>
  </si>
  <si>
    <t>HC00103</t>
  </si>
  <si>
    <t>Stands</t>
  </si>
  <si>
    <t>TRIPOD 2BALL HEAD - 6 UNITS</t>
  </si>
  <si>
    <t>ขาตั้งกล้อง 2 หัวบอล - 6 ชุด</t>
  </si>
  <si>
    <t>HC00104</t>
  </si>
  <si>
    <t>Table</t>
  </si>
  <si>
    <t>2018/004</t>
  </si>
  <si>
    <t>C18-002570</t>
  </si>
  <si>
    <t>TABLE FOR SONY SMART LED TV FOR -HEAD OFFICE</t>
  </si>
  <si>
    <t>โต๊ะสำหรับทีวี LED สมาร์ทของ Sony สำหรับสำนักงานใหญ่</t>
  </si>
  <si>
    <t>HC00105</t>
  </si>
  <si>
    <t xml:space="preserve">GUALOV STORAGE TABLE FOR </t>
  </si>
  <si>
    <t>โต๊ะเก็บของ GUALOV</t>
  </si>
  <si>
    <t>HC00106</t>
  </si>
  <si>
    <t>AUDIO CONTROL ROOM TABLE FOR -MUAKLEK</t>
  </si>
  <si>
    <t>โต๊ะควบคุมเสียงสำหรับ -MUAKLEK</t>
  </si>
  <si>
    <t>HC00107</t>
  </si>
  <si>
    <t xml:space="preserve">QUAD DESKS (BEIGE) FOR </t>
  </si>
  <si>
    <t>โต๊ะทำงานสี่ที่นั่ง (สีเบจ) สำหรับ</t>
  </si>
  <si>
    <t>HC00108</t>
  </si>
  <si>
    <t>QUAD DESKS (WALNUT) FOR  (1of2 )</t>
  </si>
  <si>
    <t>โต๊ะทำงานสี่ที่นั่ง (สีวอลนัท) สำหรับ (1 จาก 2)</t>
  </si>
  <si>
    <t>HC00109</t>
  </si>
  <si>
    <t>QUAD DESKS (WALNUT) FOR  (2of2 )</t>
  </si>
  <si>
    <t>โต๊ะทำงานสี่ที่นั่ง (สีวอลนัท) สำหรับ (2 จาก 2)</t>
  </si>
  <si>
    <t>HC00110</t>
  </si>
  <si>
    <t>TV/Guestroom</t>
  </si>
  <si>
    <t>TELEVISION FOR  GUESTROOM</t>
  </si>
  <si>
    <t>โทรทัศน์สำหรับห้องพักแขก</t>
  </si>
  <si>
    <t>HC00111</t>
  </si>
  <si>
    <t>TV/LG</t>
  </si>
  <si>
    <t>ทีวี LG 75 นิ้ว สำหรับ HC-AIU</t>
  </si>
  <si>
    <t>HC00112</t>
  </si>
  <si>
    <t>Washing Machine</t>
  </si>
  <si>
    <t xml:space="preserve">WASHING MACHINE FOR </t>
  </si>
  <si>
    <t>เครื่องซักผ้า</t>
  </si>
  <si>
    <t>Note</t>
  </si>
  <si>
    <r>
      <t xml:space="preserve">All equipment and furniture were not recorded in the accounting records as they had been written off during the relocation of the office from Singapore to Thailand. However, a checklist was prepared as the items are still usable. </t>
    </r>
    <r>
      <rPr>
        <b/>
        <i/>
        <u/>
        <sz val="18"/>
        <color theme="1"/>
        <rFont val="Angsana New"/>
        <family val="1"/>
      </rPr>
      <t>28/09/2026</t>
    </r>
  </si>
  <si>
    <r>
      <t xml:space="preserve">อุปกรณ์และเฟอร์นิเจอร์ทั้งหมดไม่ได้รับรู้ในทางบัญชี เนื่องจากได้มีการตัดจำหน่ายเต็มจำนวน ณ วันที่ย้ายสำนักงานจากประเทศสิงคโปร์มายังประเทศไทย อย่างไรก็ตาม บริษัทได้จัดทำบัญชีรายการทรัพย์สิน (inventory checklist) ไว้ เนื่องจากทรัพย์สินดังกล่าวยังคงอยู่ระหว่างการใช้งาน </t>
    </r>
    <r>
      <rPr>
        <b/>
        <u/>
        <sz val="18"/>
        <color theme="1"/>
        <rFont val="Angsana New"/>
        <family val="1"/>
      </rPr>
      <t>28</t>
    </r>
    <r>
      <rPr>
        <b/>
        <i/>
        <u/>
        <sz val="18"/>
        <color theme="1"/>
        <rFont val="Angsana New"/>
        <family val="1"/>
      </rPr>
      <t>/09/2026</t>
    </r>
  </si>
  <si>
    <t>Physical Count By……………...……………………………</t>
  </si>
  <si>
    <t>Checked By……………………….……………………………..</t>
  </si>
  <si>
    <t>Date………………………….………………………………………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</si>
</sst>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.00_-;\-* #,##0.00_-;_-* &quot;-&quot;??_-;_-@_-"/>
    <numFmt numFmtId="165" formatCode="#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ngsana New"/>
      <family val="1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8"/>
      <name val="Angsana New"/>
      <family val="1"/>
    </font>
    <font>
      <b/>
      <sz val="18"/>
      <color rgb="FFFF0000"/>
      <name val="Angsana New"/>
      <family val="1"/>
    </font>
    <font>
      <sz val="18"/>
      <color rgb="FFFF0000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b/>
      <i/>
      <u/>
      <sz val="18"/>
      <color theme="1"/>
      <name val="Angsana New"/>
      <family val="1"/>
    </font>
    <font>
      <b/>
      <u/>
      <sz val="18"/>
      <color theme="1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1">
    <xf numFmtId="0" fontId="0" fillId="0" borderId="0" xfId="0"/>
    <xf numFmtId="0" fontId="3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/>
    <xf numFmtId="0" fontId="3" fillId="3" borderId="11" xfId="0" applyFont="1" applyFill="1" applyBorder="1" applyAlignment="1">
      <alignment horizontal="center"/>
    </xf>
    <xf numFmtId="0" fontId="0" fillId="3" borderId="12" xfId="0" applyFont="1" applyFill="1" applyBorder="1"/>
    <xf numFmtId="0" fontId="5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3" borderId="13" xfId="0" applyFont="1" applyFill="1" applyBorder="1"/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center"/>
    </xf>
    <xf numFmtId="0" fontId="0" fillId="2" borderId="10" xfId="0" applyFont="1" applyFill="1" applyBorder="1"/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/>
    <xf numFmtId="0" fontId="0" fillId="2" borderId="12" xfId="0" applyFill="1" applyBorder="1"/>
    <xf numFmtId="0" fontId="0" fillId="2" borderId="12" xfId="0" applyFont="1" applyFill="1" applyBorder="1" applyAlignment="1">
      <alignment horizontal="center"/>
    </xf>
    <xf numFmtId="43" fontId="6" fillId="2" borderId="12" xfId="0" applyNumberFormat="1" applyFont="1" applyFill="1" applyBorder="1"/>
    <xf numFmtId="43" fontId="0" fillId="2" borderId="12" xfId="0" applyNumberFormat="1" applyFont="1" applyFill="1" applyBorder="1"/>
    <xf numFmtId="0" fontId="0" fillId="2" borderId="1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18" xfId="0" applyFont="1" applyFill="1" applyBorder="1"/>
    <xf numFmtId="0" fontId="0" fillId="2" borderId="19" xfId="0" applyFont="1" applyFill="1" applyBorder="1" applyAlignment="1">
      <alignment horizontal="center"/>
    </xf>
    <xf numFmtId="0" fontId="0" fillId="2" borderId="20" xfId="0" applyFont="1" applyFill="1" applyBorder="1"/>
    <xf numFmtId="0" fontId="0" fillId="2" borderId="20" xfId="0" applyFill="1" applyBorder="1"/>
    <xf numFmtId="0" fontId="0" fillId="2" borderId="20" xfId="0" applyFont="1" applyFill="1" applyBorder="1" applyAlignment="1">
      <alignment horizontal="center"/>
    </xf>
    <xf numFmtId="43" fontId="6" fillId="2" borderId="20" xfId="0" applyNumberFormat="1" applyFont="1" applyFill="1" applyBorder="1"/>
    <xf numFmtId="43" fontId="0" fillId="2" borderId="20" xfId="0" applyNumberFormat="1" applyFont="1" applyFill="1" applyBorder="1"/>
    <xf numFmtId="0" fontId="0" fillId="2" borderId="21" xfId="0" applyFont="1" applyFill="1" applyBorder="1"/>
    <xf numFmtId="0" fontId="3" fillId="4" borderId="9" xfId="0" applyFont="1" applyFill="1" applyBorder="1" applyAlignment="1">
      <alignment horizontal="center"/>
    </xf>
    <xf numFmtId="0" fontId="0" fillId="4" borderId="18" xfId="0" applyFont="1" applyFill="1" applyBorder="1"/>
    <xf numFmtId="0" fontId="0" fillId="4" borderId="19" xfId="0" applyFont="1" applyFill="1" applyBorder="1" applyAlignment="1">
      <alignment horizontal="center"/>
    </xf>
    <xf numFmtId="0" fontId="0" fillId="4" borderId="20" xfId="0" applyFont="1" applyFill="1" applyBorder="1"/>
    <xf numFmtId="0" fontId="0" fillId="4" borderId="20" xfId="0" applyFill="1" applyBorder="1"/>
    <xf numFmtId="0" fontId="7" fillId="4" borderId="20" xfId="0" applyFont="1" applyFill="1" applyBorder="1"/>
    <xf numFmtId="0" fontId="0" fillId="4" borderId="20" xfId="0" applyFont="1" applyFill="1" applyBorder="1" applyAlignment="1">
      <alignment horizontal="center"/>
    </xf>
    <xf numFmtId="43" fontId="6" fillId="4" borderId="20" xfId="0" applyNumberFormat="1" applyFont="1" applyFill="1" applyBorder="1"/>
    <xf numFmtId="43" fontId="0" fillId="4" borderId="20" xfId="0" applyNumberFormat="1" applyFont="1" applyFill="1" applyBorder="1"/>
    <xf numFmtId="0" fontId="0" fillId="4" borderId="21" xfId="0" applyFont="1" applyFill="1" applyBorder="1"/>
    <xf numFmtId="0" fontId="0" fillId="4" borderId="0" xfId="0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right"/>
    </xf>
    <xf numFmtId="0" fontId="8" fillId="2" borderId="0" xfId="0" applyFont="1" applyFill="1" applyAlignment="1"/>
    <xf numFmtId="0" fontId="3" fillId="4" borderId="0" xfId="0" applyFont="1" applyFill="1" applyAlignment="1"/>
    <xf numFmtId="0" fontId="0" fillId="4" borderId="0" xfId="0" applyFont="1" applyFill="1"/>
    <xf numFmtId="0" fontId="9" fillId="4" borderId="0" xfId="0" applyFont="1" applyFill="1" applyAlignment="1"/>
    <xf numFmtId="0" fontId="10" fillId="2" borderId="9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6" fillId="2" borderId="20" xfId="0" applyFont="1" applyFill="1" applyBorder="1"/>
    <xf numFmtId="0" fontId="6" fillId="2" borderId="20" xfId="0" applyFont="1" applyFill="1" applyBorder="1" applyAlignment="1">
      <alignment horizontal="center"/>
    </xf>
    <xf numFmtId="0" fontId="6" fillId="2" borderId="0" xfId="0" applyFont="1" applyFill="1"/>
    <xf numFmtId="0" fontId="6" fillId="2" borderId="0" xfId="0" applyFont="1" applyFill="1" applyBorder="1"/>
    <xf numFmtId="43" fontId="0" fillId="2" borderId="0" xfId="0" applyNumberFormat="1" applyFill="1"/>
    <xf numFmtId="0" fontId="7" fillId="4" borderId="9" xfId="0" applyFont="1" applyFill="1" applyBorder="1" applyAlignment="1">
      <alignment horizontal="center"/>
    </xf>
    <xf numFmtId="0" fontId="2" fillId="4" borderId="18" xfId="0" applyFont="1" applyFill="1" applyBorder="1"/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/>
    <xf numFmtId="0" fontId="2" fillId="4" borderId="20" xfId="0" applyFont="1" applyFill="1" applyBorder="1" applyAlignment="1">
      <alignment horizontal="center"/>
    </xf>
    <xf numFmtId="43" fontId="2" fillId="4" borderId="20" xfId="0" applyNumberFormat="1" applyFont="1" applyFill="1" applyBorder="1"/>
    <xf numFmtId="0" fontId="2" fillId="4" borderId="21" xfId="0" applyFont="1" applyFill="1" applyBorder="1"/>
    <xf numFmtId="0" fontId="2" fillId="4" borderId="0" xfId="0" applyFont="1" applyFill="1"/>
    <xf numFmtId="0" fontId="2" fillId="4" borderId="0" xfId="0" applyFont="1" applyFill="1" applyBorder="1"/>
    <xf numFmtId="0" fontId="2" fillId="4" borderId="0" xfId="0" applyFont="1" applyFill="1" applyBorder="1" applyAlignment="1">
      <alignment horizontal="right"/>
    </xf>
    <xf numFmtId="0" fontId="0" fillId="0" borderId="22" xfId="0" applyFont="1" applyFill="1" applyBorder="1"/>
    <xf numFmtId="0" fontId="3" fillId="0" borderId="9" xfId="0" applyFont="1" applyFill="1" applyBorder="1" applyAlignment="1">
      <alignment horizontal="center"/>
    </xf>
    <xf numFmtId="0" fontId="0" fillId="0" borderId="18" xfId="0" applyFont="1" applyFill="1" applyBorder="1"/>
    <xf numFmtId="0" fontId="0" fillId="0" borderId="19" xfId="0" applyFont="1" applyFill="1" applyBorder="1" applyAlignment="1">
      <alignment horizontal="center"/>
    </xf>
    <xf numFmtId="0" fontId="0" fillId="0" borderId="20" xfId="0" applyFont="1" applyFill="1" applyBorder="1"/>
    <xf numFmtId="0" fontId="0" fillId="0" borderId="20" xfId="0" applyFont="1" applyFill="1" applyBorder="1" applyAlignment="1">
      <alignment horizontal="center"/>
    </xf>
    <xf numFmtId="43" fontId="0" fillId="0" borderId="20" xfId="0" applyNumberFormat="1" applyFont="1" applyFill="1" applyBorder="1"/>
    <xf numFmtId="0" fontId="0" fillId="0" borderId="21" xfId="0" applyFont="1" applyFill="1" applyBorder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0" fillId="2" borderId="0" xfId="0" applyFont="1" applyFill="1"/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21" xfId="0" applyFont="1" applyFill="1" applyBorder="1"/>
    <xf numFmtId="0" fontId="2" fillId="2" borderId="0" xfId="0" applyFont="1" applyFill="1"/>
    <xf numFmtId="0" fontId="2" fillId="2" borderId="0" xfId="0" applyFont="1" applyFill="1" applyBorder="1"/>
    <xf numFmtId="0" fontId="2" fillId="2" borderId="20" xfId="0" applyFont="1" applyFill="1" applyBorder="1"/>
    <xf numFmtId="43" fontId="0" fillId="2" borderId="20" xfId="1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0" fontId="0" fillId="2" borderId="16" xfId="0" applyFill="1" applyBorder="1"/>
    <xf numFmtId="0" fontId="0" fillId="2" borderId="16" xfId="0" applyFont="1" applyFill="1" applyBorder="1"/>
    <xf numFmtId="0" fontId="6" fillId="2" borderId="16" xfId="0" applyFont="1" applyFill="1" applyBorder="1"/>
    <xf numFmtId="0" fontId="6" fillId="2" borderId="16" xfId="0" applyFont="1" applyFill="1" applyBorder="1" applyAlignment="1">
      <alignment horizontal="center"/>
    </xf>
    <xf numFmtId="43" fontId="0" fillId="2" borderId="16" xfId="1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43" fontId="0" fillId="2" borderId="16" xfId="0" applyNumberFormat="1" applyFont="1" applyFill="1" applyBorder="1"/>
    <xf numFmtId="0" fontId="0" fillId="2" borderId="17" xfId="0" applyFill="1" applyBorder="1" applyAlignment="1">
      <alignment horizontal="left"/>
    </xf>
    <xf numFmtId="0" fontId="6" fillId="2" borderId="0" xfId="0" applyFont="1" applyFill="1" applyBorder="1" applyAlignment="1">
      <alignment horizontal="center"/>
    </xf>
    <xf numFmtId="43" fontId="0" fillId="2" borderId="0" xfId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43" fontId="0" fillId="2" borderId="0" xfId="0" applyNumberFormat="1" applyFont="1" applyFill="1" applyBorder="1"/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center"/>
    </xf>
    <xf numFmtId="164" fontId="3" fillId="2" borderId="0" xfId="0" applyNumberFormat="1" applyFont="1" applyFill="1" applyBorder="1"/>
    <xf numFmtId="164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43" fontId="0" fillId="2" borderId="0" xfId="1" applyFont="1" applyFill="1"/>
    <xf numFmtId="0" fontId="11" fillId="2" borderId="0" xfId="0" applyFont="1" applyFill="1" applyBorder="1"/>
    <xf numFmtId="0" fontId="7" fillId="2" borderId="0" xfId="0" applyFont="1" applyFill="1"/>
    <xf numFmtId="0" fontId="0" fillId="2" borderId="0" xfId="0" applyFont="1" applyFill="1" applyBorder="1" applyAlignment="1">
      <alignment horizontal="center"/>
    </xf>
    <xf numFmtId="43" fontId="0" fillId="2" borderId="0" xfId="1" applyFont="1" applyFill="1" applyBorder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5" borderId="20" xfId="0" applyNumberFormat="1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vertical="center"/>
    </xf>
    <xf numFmtId="0" fontId="13" fillId="2" borderId="20" xfId="0" applyFont="1" applyFill="1" applyBorder="1" applyAlignment="1">
      <alignment horizontal="right" vertical="center"/>
    </xf>
    <xf numFmtId="14" fontId="13" fillId="2" borderId="20" xfId="0" applyNumberFormat="1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65" fontId="13" fillId="2" borderId="20" xfId="0" applyNumberFormat="1" applyFont="1" applyFill="1" applyBorder="1" applyAlignment="1">
      <alignment vertical="center"/>
    </xf>
    <xf numFmtId="0" fontId="13" fillId="2" borderId="20" xfId="0" applyFont="1" applyFill="1" applyBorder="1" applyAlignment="1">
      <alignment horizontal="left" vertical="center"/>
    </xf>
    <xf numFmtId="0" fontId="16" fillId="2" borderId="20" xfId="0" applyFont="1" applyFill="1" applyBorder="1" applyAlignment="1">
      <alignment vertical="center"/>
    </xf>
    <xf numFmtId="0" fontId="16" fillId="2" borderId="20" xfId="0" applyFont="1" applyFill="1" applyBorder="1" applyAlignment="1">
      <alignment horizontal="left" vertical="center"/>
    </xf>
    <xf numFmtId="165" fontId="16" fillId="2" borderId="20" xfId="0" applyNumberFormat="1" applyFont="1" applyFill="1" applyBorder="1" applyAlignment="1">
      <alignment vertical="center"/>
    </xf>
    <xf numFmtId="0" fontId="16" fillId="2" borderId="20" xfId="0" applyFont="1" applyFill="1" applyBorder="1" applyAlignment="1">
      <alignment horizontal="right" vertical="center"/>
    </xf>
    <xf numFmtId="0" fontId="14" fillId="2" borderId="20" xfId="0" applyFont="1" applyFill="1" applyBorder="1" applyAlignment="1">
      <alignment vertical="center"/>
    </xf>
    <xf numFmtId="165" fontId="17" fillId="2" borderId="20" xfId="0" applyNumberFormat="1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9" fillId="2" borderId="0" xfId="0" applyFont="1" applyFill="1" applyAlignment="1"/>
    <xf numFmtId="0" fontId="20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20" fillId="2" borderId="0" xfId="0" applyFont="1" applyFill="1"/>
    <xf numFmtId="0" fontId="20" fillId="2" borderId="0" xfId="0" applyFont="1" applyFill="1" applyAlignment="1">
      <alignment horizontal="right"/>
    </xf>
    <xf numFmtId="0" fontId="15" fillId="5" borderId="20" xfId="0" applyFont="1" applyFill="1" applyBorder="1" applyAlignment="1">
      <alignment horizontal="center"/>
    </xf>
    <xf numFmtId="0" fontId="15" fillId="5" borderId="20" xfId="0" applyFont="1" applyFill="1" applyBorder="1"/>
    <xf numFmtId="0" fontId="16" fillId="2" borderId="0" xfId="0" applyFont="1" applyFill="1" applyBorder="1"/>
    <xf numFmtId="0" fontId="16" fillId="2" borderId="0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18" fillId="4" borderId="20" xfId="0" applyFont="1" applyFill="1" applyBorder="1"/>
    <xf numFmtId="43" fontId="18" fillId="4" borderId="20" xfId="1" applyFont="1" applyFill="1" applyBorder="1"/>
    <xf numFmtId="0" fontId="13" fillId="4" borderId="0" xfId="0" applyFont="1" applyFill="1"/>
    <xf numFmtId="0" fontId="18" fillId="4" borderId="0" xfId="0" applyFont="1" applyFill="1"/>
    <xf numFmtId="0" fontId="13" fillId="2" borderId="20" xfId="0" applyFont="1" applyFill="1" applyBorder="1" applyAlignment="1">
      <alignment horizontal="center"/>
    </xf>
    <xf numFmtId="0" fontId="13" fillId="2" borderId="20" xfId="0" applyFont="1" applyFill="1" applyBorder="1"/>
    <xf numFmtId="43" fontId="13" fillId="2" borderId="20" xfId="1" applyFont="1" applyFill="1" applyBorder="1"/>
    <xf numFmtId="0" fontId="13" fillId="2" borderId="0" xfId="0" applyFont="1" applyFill="1"/>
    <xf numFmtId="0" fontId="16" fillId="2" borderId="20" xfId="0" applyFont="1" applyFill="1" applyBorder="1" applyAlignment="1">
      <alignment horizontal="center"/>
    </xf>
    <xf numFmtId="2" fontId="13" fillId="2" borderId="20" xfId="1" applyNumberFormat="1" applyFont="1" applyFill="1" applyBorder="1"/>
    <xf numFmtId="0" fontId="18" fillId="2" borderId="20" xfId="0" applyFont="1" applyFill="1" applyBorder="1" applyAlignment="1">
      <alignment horizontal="center"/>
    </xf>
    <xf numFmtId="0" fontId="18" fillId="2" borderId="0" xfId="0" applyFont="1" applyFill="1"/>
    <xf numFmtId="0" fontId="15" fillId="2" borderId="0" xfId="0" applyFont="1" applyFill="1" applyAlignment="1">
      <alignment horizontal="center" vertical="top"/>
    </xf>
    <xf numFmtId="0" fontId="13" fillId="2" borderId="0" xfId="0" applyFont="1" applyFill="1" applyAlignment="1">
      <alignment horizontal="center"/>
    </xf>
    <xf numFmtId="43" fontId="13" fillId="2" borderId="0" xfId="1" applyFont="1" applyFill="1"/>
    <xf numFmtId="0" fontId="13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3" fillId="2" borderId="0" xfId="0" applyFont="1" applyFill="1" applyBorder="1"/>
    <xf numFmtId="0" fontId="18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Infor/Query%20and%20Analysis/LsAgXLB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Format"/>
      <sheetName val="Scrapbook"/>
      <sheetName val="AutoFormat"/>
      <sheetName val="SheetPicture"/>
      <sheetName val="LsAgXLB"/>
    </sheetNames>
    <definedNames>
      <definedName name="AG_SMRT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V98"/>
  <sheetViews>
    <sheetView tabSelected="1" topLeftCell="D1" workbookViewId="0">
      <selection activeCell="T12" sqref="T12"/>
    </sheetView>
  </sheetViews>
  <sheetFormatPr defaultRowHeight="15" x14ac:dyDescent="0.25"/>
  <cols>
    <col min="1" max="1" width="5" style="1" bestFit="1" customWidth="1"/>
    <col min="2" max="2" width="9.140625" style="2"/>
    <col min="3" max="3" width="9.140625" style="112"/>
    <col min="4" max="4" width="24.7109375" style="2" customWidth="1"/>
    <col min="5" max="5" width="56" style="2" bestFit="1" customWidth="1"/>
    <col min="6" max="6" width="13.5703125" style="2" bestFit="1" customWidth="1"/>
    <col min="7" max="7" width="16.85546875" style="2" customWidth="1"/>
    <col min="8" max="8" width="13.42578125" style="2" customWidth="1"/>
    <col min="9" max="9" width="15.7109375" style="2" customWidth="1"/>
    <col min="10" max="10" width="7" style="2" bestFit="1" customWidth="1"/>
    <col min="11" max="11" width="5" style="2" customWidth="1"/>
    <col min="12" max="12" width="4.140625" style="2" customWidth="1"/>
    <col min="13" max="13" width="13.28515625" style="2" bestFit="1" customWidth="1"/>
    <col min="14" max="14" width="4.7109375" style="112" bestFit="1" customWidth="1"/>
    <col min="15" max="15" width="13.28515625" style="2" customWidth="1"/>
    <col min="16" max="16" width="16.7109375" style="2" customWidth="1"/>
    <col min="17" max="17" width="1.5703125" style="2" customWidth="1"/>
    <col min="18" max="18" width="7.7109375" style="3" customWidth="1"/>
    <col min="19" max="19" width="3.42578125" style="4" customWidth="1"/>
    <col min="20" max="21" width="9.140625" style="3"/>
    <col min="22" max="16384" width="9.140625" style="2"/>
  </cols>
  <sheetData>
    <row r="1" spans="1:21" ht="23.25" x14ac:dyDescent="0.35">
      <c r="B1" s="170" t="s">
        <v>0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2"/>
    </row>
    <row r="2" spans="1:21" ht="23.25" x14ac:dyDescent="0.35">
      <c r="B2" s="173" t="s">
        <v>1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5"/>
    </row>
    <row r="3" spans="1:21" ht="23.25" x14ac:dyDescent="0.35">
      <c r="B3" s="173" t="s">
        <v>2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5"/>
    </row>
    <row r="4" spans="1:21" ht="22.5" customHeight="1" x14ac:dyDescent="0.35">
      <c r="B4" s="173" t="s">
        <v>3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5"/>
    </row>
    <row r="5" spans="1:21" ht="12.75" customHeight="1" thickBot="1" x14ac:dyDescent="0.3">
      <c r="B5" s="176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8"/>
    </row>
    <row r="6" spans="1:21" ht="23.25" customHeight="1" x14ac:dyDescent="0.25">
      <c r="A6" s="5" t="s">
        <v>4</v>
      </c>
      <c r="B6" s="6" t="s">
        <v>5</v>
      </c>
      <c r="C6" s="7"/>
      <c r="D6" s="8"/>
      <c r="E6" s="8"/>
      <c r="F6" s="9" t="s">
        <v>6</v>
      </c>
      <c r="G6" s="8"/>
      <c r="H6" s="8"/>
      <c r="I6" s="10" t="s">
        <v>7</v>
      </c>
      <c r="J6" s="11" t="s">
        <v>8</v>
      </c>
      <c r="K6" s="12"/>
      <c r="L6" s="12"/>
      <c r="M6" s="11" t="s">
        <v>9</v>
      </c>
      <c r="N6" s="12"/>
      <c r="O6" s="11"/>
      <c r="P6" s="13"/>
    </row>
    <row r="7" spans="1:21" s="20" customFormat="1" ht="23.25" customHeight="1" thickBot="1" x14ac:dyDescent="0.3">
      <c r="A7" s="5"/>
      <c r="B7" s="14" t="s">
        <v>10</v>
      </c>
      <c r="C7" s="15" t="s">
        <v>11</v>
      </c>
      <c r="D7" s="16" t="s">
        <v>12</v>
      </c>
      <c r="E7" s="16" t="s">
        <v>13</v>
      </c>
      <c r="F7" s="17" t="s">
        <v>14</v>
      </c>
      <c r="G7" s="16" t="s">
        <v>15</v>
      </c>
      <c r="H7" s="16" t="s">
        <v>16</v>
      </c>
      <c r="I7" s="18" t="s">
        <v>17</v>
      </c>
      <c r="J7" s="16" t="s">
        <v>18</v>
      </c>
      <c r="K7" s="16" t="s">
        <v>4</v>
      </c>
      <c r="L7" s="16" t="s">
        <v>19</v>
      </c>
      <c r="M7" s="16" t="s">
        <v>20</v>
      </c>
      <c r="N7" s="16" t="s">
        <v>21</v>
      </c>
      <c r="O7" s="16" t="s">
        <v>22</v>
      </c>
      <c r="P7" s="19" t="s">
        <v>23</v>
      </c>
      <c r="R7" s="21" t="s">
        <v>18</v>
      </c>
      <c r="S7" s="22"/>
      <c r="T7" s="21"/>
      <c r="U7" s="21"/>
    </row>
    <row r="8" spans="1:21" ht="23.25" customHeight="1" x14ac:dyDescent="0.25">
      <c r="A8" s="23">
        <v>2022</v>
      </c>
      <c r="B8" s="24" t="s">
        <v>24</v>
      </c>
      <c r="C8" s="25">
        <v>457</v>
      </c>
      <c r="D8" s="26" t="s">
        <v>25</v>
      </c>
      <c r="E8" s="26" t="s">
        <v>25</v>
      </c>
      <c r="F8" s="27"/>
      <c r="G8" s="26" t="s">
        <v>26</v>
      </c>
      <c r="H8" s="26"/>
      <c r="I8" s="27"/>
      <c r="J8" s="26" t="s">
        <v>27</v>
      </c>
      <c r="K8" s="28">
        <v>2</v>
      </c>
      <c r="L8" s="28">
        <f t="shared" ref="L8:L34" si="0">SUM(100/5)</f>
        <v>20</v>
      </c>
      <c r="M8" s="29">
        <v>9330.8847600000008</v>
      </c>
      <c r="N8" s="28">
        <v>1</v>
      </c>
      <c r="O8" s="30">
        <f t="shared" ref="O8:O66" si="1">SUM(M8/N8)</f>
        <v>9330.8847600000008</v>
      </c>
      <c r="P8" s="31" t="s">
        <v>28</v>
      </c>
      <c r="R8" s="32" t="s">
        <v>27</v>
      </c>
      <c r="S8" s="33" t="s">
        <v>29</v>
      </c>
      <c r="T8" s="32" t="s">
        <v>30</v>
      </c>
      <c r="U8" s="32" t="s">
        <v>31</v>
      </c>
    </row>
    <row r="9" spans="1:21" ht="23.25" customHeight="1" x14ac:dyDescent="0.25">
      <c r="A9" s="23"/>
      <c r="B9" s="34" t="s">
        <v>24</v>
      </c>
      <c r="C9" s="35">
        <v>457</v>
      </c>
      <c r="D9" s="36" t="s">
        <v>32</v>
      </c>
      <c r="E9" s="36" t="s">
        <v>33</v>
      </c>
      <c r="F9" s="37"/>
      <c r="G9" s="36" t="s">
        <v>34</v>
      </c>
      <c r="H9" s="36"/>
      <c r="I9" s="37"/>
      <c r="J9" s="36" t="s">
        <v>35</v>
      </c>
      <c r="K9" s="38">
        <v>2</v>
      </c>
      <c r="L9" s="38">
        <f t="shared" si="0"/>
        <v>20</v>
      </c>
      <c r="M9" s="39">
        <v>9471.2077199999985</v>
      </c>
      <c r="N9" s="38">
        <v>1</v>
      </c>
      <c r="O9" s="40">
        <f t="shared" si="1"/>
        <v>9471.2077199999985</v>
      </c>
      <c r="P9" s="41" t="s">
        <v>28</v>
      </c>
      <c r="R9" s="32" t="s">
        <v>35</v>
      </c>
      <c r="S9" s="33" t="s">
        <v>29</v>
      </c>
      <c r="T9" s="32" t="s">
        <v>30</v>
      </c>
      <c r="U9" s="32" t="s">
        <v>31</v>
      </c>
    </row>
    <row r="10" spans="1:21" ht="23.25" customHeight="1" x14ac:dyDescent="0.25">
      <c r="A10" s="23"/>
      <c r="B10" s="34" t="s">
        <v>24</v>
      </c>
      <c r="C10" s="35">
        <v>457</v>
      </c>
      <c r="D10" s="36" t="s">
        <v>36</v>
      </c>
      <c r="E10" s="36" t="s">
        <v>36</v>
      </c>
      <c r="F10" s="37"/>
      <c r="G10" s="36" t="s">
        <v>37</v>
      </c>
      <c r="H10" s="36"/>
      <c r="I10" s="37"/>
      <c r="J10" s="36" t="s">
        <v>38</v>
      </c>
      <c r="K10" s="38">
        <v>2</v>
      </c>
      <c r="L10" s="38">
        <f t="shared" si="0"/>
        <v>20</v>
      </c>
      <c r="M10" s="39">
        <v>8104.1936800000003</v>
      </c>
      <c r="N10" s="38">
        <v>1</v>
      </c>
      <c r="O10" s="40">
        <f t="shared" si="1"/>
        <v>8104.1936800000003</v>
      </c>
      <c r="P10" s="41" t="s">
        <v>28</v>
      </c>
      <c r="R10" s="32" t="s">
        <v>38</v>
      </c>
      <c r="S10" s="33" t="s">
        <v>29</v>
      </c>
      <c r="T10" s="32" t="s">
        <v>30</v>
      </c>
      <c r="U10" s="32" t="s">
        <v>31</v>
      </c>
    </row>
    <row r="11" spans="1:21" ht="23.25" customHeight="1" x14ac:dyDescent="0.25">
      <c r="A11" s="23"/>
      <c r="B11" s="34" t="s">
        <v>24</v>
      </c>
      <c r="C11" s="35">
        <v>457</v>
      </c>
      <c r="D11" s="36" t="s">
        <v>39</v>
      </c>
      <c r="E11" s="36" t="s">
        <v>39</v>
      </c>
      <c r="F11" s="37"/>
      <c r="G11" s="36" t="s">
        <v>37</v>
      </c>
      <c r="H11" s="36"/>
      <c r="I11" s="37"/>
      <c r="J11" s="36" t="s">
        <v>40</v>
      </c>
      <c r="K11" s="38">
        <v>2</v>
      </c>
      <c r="L11" s="38">
        <f t="shared" si="0"/>
        <v>20</v>
      </c>
      <c r="M11" s="39">
        <v>5118.4329199999993</v>
      </c>
      <c r="N11" s="38">
        <v>1</v>
      </c>
      <c r="O11" s="40">
        <f t="shared" si="1"/>
        <v>5118.4329199999993</v>
      </c>
      <c r="P11" s="41" t="s">
        <v>28</v>
      </c>
      <c r="R11" s="32" t="s">
        <v>40</v>
      </c>
      <c r="S11" s="33" t="s">
        <v>29</v>
      </c>
      <c r="T11" s="32" t="s">
        <v>30</v>
      </c>
      <c r="U11" s="32" t="s">
        <v>31</v>
      </c>
    </row>
    <row r="12" spans="1:21" ht="23.25" customHeight="1" x14ac:dyDescent="0.25">
      <c r="A12" s="23"/>
      <c r="B12" s="34" t="s">
        <v>24</v>
      </c>
      <c r="C12" s="35">
        <v>457</v>
      </c>
      <c r="D12" s="36" t="s">
        <v>39</v>
      </c>
      <c r="E12" s="36" t="s">
        <v>39</v>
      </c>
      <c r="F12" s="37"/>
      <c r="G12" s="36" t="s">
        <v>37</v>
      </c>
      <c r="H12" s="36"/>
      <c r="I12" s="37"/>
      <c r="J12" s="36" t="s">
        <v>41</v>
      </c>
      <c r="K12" s="38">
        <v>2</v>
      </c>
      <c r="L12" s="38">
        <f t="shared" si="0"/>
        <v>20</v>
      </c>
      <c r="M12" s="39">
        <v>5118.4329199999993</v>
      </c>
      <c r="N12" s="38">
        <v>1</v>
      </c>
      <c r="O12" s="40">
        <f t="shared" si="1"/>
        <v>5118.4329199999993</v>
      </c>
      <c r="P12" s="41" t="s">
        <v>28</v>
      </c>
      <c r="R12" s="32" t="s">
        <v>41</v>
      </c>
      <c r="S12" s="33" t="s">
        <v>29</v>
      </c>
      <c r="T12" s="32" t="s">
        <v>30</v>
      </c>
      <c r="U12" s="32" t="s">
        <v>31</v>
      </c>
    </row>
    <row r="13" spans="1:21" ht="23.25" customHeight="1" x14ac:dyDescent="0.25">
      <c r="A13" s="23"/>
      <c r="B13" s="34" t="s">
        <v>24</v>
      </c>
      <c r="C13" s="35">
        <v>457</v>
      </c>
      <c r="D13" s="36" t="s">
        <v>39</v>
      </c>
      <c r="E13" s="36" t="s">
        <v>39</v>
      </c>
      <c r="F13" s="37"/>
      <c r="G13" s="36" t="s">
        <v>37</v>
      </c>
      <c r="H13" s="36"/>
      <c r="I13" s="37"/>
      <c r="J13" s="36" t="s">
        <v>42</v>
      </c>
      <c r="K13" s="38">
        <v>2</v>
      </c>
      <c r="L13" s="38">
        <f t="shared" si="0"/>
        <v>20</v>
      </c>
      <c r="M13" s="39">
        <v>5118.4329199999993</v>
      </c>
      <c r="N13" s="38">
        <v>1</v>
      </c>
      <c r="O13" s="40">
        <f t="shared" si="1"/>
        <v>5118.4329199999993</v>
      </c>
      <c r="P13" s="41" t="s">
        <v>28</v>
      </c>
      <c r="R13" s="32" t="s">
        <v>42</v>
      </c>
      <c r="S13" s="33" t="s">
        <v>29</v>
      </c>
      <c r="T13" s="32" t="s">
        <v>30</v>
      </c>
      <c r="U13" s="32" t="s">
        <v>31</v>
      </c>
    </row>
    <row r="14" spans="1:21" ht="23.25" customHeight="1" x14ac:dyDescent="0.25">
      <c r="A14" s="23"/>
      <c r="B14" s="34" t="s">
        <v>24</v>
      </c>
      <c r="C14" s="35">
        <v>457</v>
      </c>
      <c r="D14" s="36" t="s">
        <v>39</v>
      </c>
      <c r="E14" s="36" t="s">
        <v>39</v>
      </c>
      <c r="F14" s="37"/>
      <c r="G14" s="36" t="s">
        <v>37</v>
      </c>
      <c r="H14" s="36"/>
      <c r="I14" s="37"/>
      <c r="J14" s="36" t="s">
        <v>43</v>
      </c>
      <c r="K14" s="38">
        <v>2</v>
      </c>
      <c r="L14" s="38">
        <f t="shared" si="0"/>
        <v>20</v>
      </c>
      <c r="M14" s="39">
        <v>5118.4329199999993</v>
      </c>
      <c r="N14" s="38">
        <v>1</v>
      </c>
      <c r="O14" s="40">
        <f t="shared" si="1"/>
        <v>5118.4329199999993</v>
      </c>
      <c r="P14" s="41" t="s">
        <v>28</v>
      </c>
      <c r="R14" s="32" t="s">
        <v>43</v>
      </c>
      <c r="S14" s="33" t="s">
        <v>29</v>
      </c>
      <c r="T14" s="32" t="s">
        <v>30</v>
      </c>
      <c r="U14" s="32" t="s">
        <v>31</v>
      </c>
    </row>
    <row r="15" spans="1:21" s="52" customFormat="1" ht="23.25" customHeight="1" x14ac:dyDescent="0.25">
      <c r="A15" s="42"/>
      <c r="B15" s="43" t="s">
        <v>24</v>
      </c>
      <c r="C15" s="44">
        <v>457</v>
      </c>
      <c r="D15" s="45" t="s">
        <v>44</v>
      </c>
      <c r="E15" s="45" t="s">
        <v>45</v>
      </c>
      <c r="F15" s="46"/>
      <c r="G15" s="45" t="s">
        <v>46</v>
      </c>
      <c r="H15" s="47" t="s">
        <v>47</v>
      </c>
      <c r="I15" s="46"/>
      <c r="J15" s="45" t="s">
        <v>48</v>
      </c>
      <c r="K15" s="48">
        <v>3</v>
      </c>
      <c r="L15" s="48">
        <f t="shared" si="0"/>
        <v>20</v>
      </c>
      <c r="M15" s="49">
        <v>21113.424780000001</v>
      </c>
      <c r="N15" s="48">
        <v>1</v>
      </c>
      <c r="O15" s="50">
        <f t="shared" si="1"/>
        <v>21113.424780000001</v>
      </c>
      <c r="P15" s="51" t="s">
        <v>28</v>
      </c>
      <c r="R15" s="53" t="s">
        <v>48</v>
      </c>
      <c r="S15" s="54" t="s">
        <v>29</v>
      </c>
      <c r="T15" s="53" t="s">
        <v>30</v>
      </c>
      <c r="U15" s="53" t="s">
        <v>31</v>
      </c>
    </row>
    <row r="16" spans="1:21" ht="23.25" customHeight="1" x14ac:dyDescent="0.25">
      <c r="A16" s="23"/>
      <c r="B16" s="34" t="s">
        <v>24</v>
      </c>
      <c r="C16" s="35">
        <v>457</v>
      </c>
      <c r="D16" s="36" t="s">
        <v>49</v>
      </c>
      <c r="E16" s="36" t="s">
        <v>50</v>
      </c>
      <c r="F16" s="37"/>
      <c r="G16" s="36" t="s">
        <v>51</v>
      </c>
      <c r="H16" s="36"/>
      <c r="I16" s="37"/>
      <c r="J16" s="36" t="s">
        <v>52</v>
      </c>
      <c r="K16" s="38">
        <v>3</v>
      </c>
      <c r="L16" s="38">
        <f t="shared" si="0"/>
        <v>20</v>
      </c>
      <c r="M16" s="39">
        <v>12136.603859999999</v>
      </c>
      <c r="N16" s="38">
        <v>1</v>
      </c>
      <c r="O16" s="40">
        <f t="shared" si="1"/>
        <v>12136.603859999999</v>
      </c>
      <c r="P16" s="41" t="s">
        <v>28</v>
      </c>
      <c r="R16" s="32" t="s">
        <v>52</v>
      </c>
      <c r="S16" s="33" t="s">
        <v>29</v>
      </c>
      <c r="T16" s="32" t="s">
        <v>30</v>
      </c>
      <c r="U16" s="32" t="s">
        <v>31</v>
      </c>
    </row>
    <row r="17" spans="1:22" ht="23.25" customHeight="1" x14ac:dyDescent="0.25">
      <c r="A17" s="23"/>
      <c r="B17" s="34" t="s">
        <v>24</v>
      </c>
      <c r="C17" s="35">
        <v>457</v>
      </c>
      <c r="D17" s="36" t="s">
        <v>53</v>
      </c>
      <c r="E17" s="36" t="s">
        <v>54</v>
      </c>
      <c r="F17" s="37"/>
      <c r="G17" s="36" t="s">
        <v>55</v>
      </c>
      <c r="H17" s="36"/>
      <c r="I17" s="37"/>
      <c r="J17" s="36" t="s">
        <v>56</v>
      </c>
      <c r="K17" s="38">
        <v>3</v>
      </c>
      <c r="L17" s="38">
        <f t="shared" si="0"/>
        <v>20</v>
      </c>
      <c r="M17" s="39">
        <v>10787.25354</v>
      </c>
      <c r="N17" s="38">
        <v>1</v>
      </c>
      <c r="O17" s="40">
        <f t="shared" si="1"/>
        <v>10787.25354</v>
      </c>
      <c r="P17" s="41" t="s">
        <v>28</v>
      </c>
      <c r="R17" s="32" t="s">
        <v>56</v>
      </c>
      <c r="S17" s="33" t="s">
        <v>29</v>
      </c>
      <c r="T17" s="32" t="s">
        <v>30</v>
      </c>
      <c r="U17" s="32" t="s">
        <v>31</v>
      </c>
    </row>
    <row r="18" spans="1:22" ht="23.25" customHeight="1" x14ac:dyDescent="0.3">
      <c r="A18" s="23"/>
      <c r="B18" s="34" t="s">
        <v>24</v>
      </c>
      <c r="C18" s="35">
        <v>457</v>
      </c>
      <c r="D18" s="36" t="s">
        <v>57</v>
      </c>
      <c r="E18" s="36" t="s">
        <v>58</v>
      </c>
      <c r="F18" s="37"/>
      <c r="G18" s="36" t="s">
        <v>59</v>
      </c>
      <c r="H18" s="36"/>
      <c r="I18" s="37"/>
      <c r="J18" s="36" t="s">
        <v>60</v>
      </c>
      <c r="K18" s="38">
        <v>3</v>
      </c>
      <c r="L18" s="38">
        <f t="shared" si="0"/>
        <v>20</v>
      </c>
      <c r="M18" s="39">
        <v>6769.9167299999999</v>
      </c>
      <c r="N18" s="38">
        <v>1</v>
      </c>
      <c r="O18" s="40">
        <f t="shared" si="1"/>
        <v>6769.9167299999999</v>
      </c>
      <c r="P18" s="41" t="s">
        <v>28</v>
      </c>
      <c r="Q18" s="55"/>
      <c r="R18" s="32" t="s">
        <v>60</v>
      </c>
      <c r="S18" s="33" t="s">
        <v>29</v>
      </c>
      <c r="T18" s="32" t="s">
        <v>30</v>
      </c>
      <c r="U18" s="32" t="s">
        <v>31</v>
      </c>
      <c r="V18" s="55"/>
    </row>
    <row r="19" spans="1:22" ht="23.25" customHeight="1" x14ac:dyDescent="0.3">
      <c r="A19" s="23"/>
      <c r="B19" s="34" t="s">
        <v>24</v>
      </c>
      <c r="C19" s="35">
        <v>457</v>
      </c>
      <c r="D19" s="36" t="s">
        <v>57</v>
      </c>
      <c r="E19" s="36" t="s">
        <v>61</v>
      </c>
      <c r="F19" s="37"/>
      <c r="G19" s="36" t="s">
        <v>59</v>
      </c>
      <c r="H19" s="36"/>
      <c r="I19" s="37"/>
      <c r="J19" s="36" t="s">
        <v>62</v>
      </c>
      <c r="K19" s="38">
        <v>3</v>
      </c>
      <c r="L19" s="38">
        <f t="shared" si="0"/>
        <v>20</v>
      </c>
      <c r="M19" s="39">
        <v>6769.9167299999999</v>
      </c>
      <c r="N19" s="38">
        <v>1</v>
      </c>
      <c r="O19" s="40">
        <f t="shared" si="1"/>
        <v>6769.9167299999999</v>
      </c>
      <c r="P19" s="41" t="s">
        <v>28</v>
      </c>
      <c r="Q19" s="55"/>
      <c r="R19" s="32" t="s">
        <v>62</v>
      </c>
      <c r="S19" s="33" t="s">
        <v>29</v>
      </c>
      <c r="T19" s="32" t="s">
        <v>30</v>
      </c>
      <c r="U19" s="32" t="s">
        <v>31</v>
      </c>
      <c r="V19" s="55"/>
    </row>
    <row r="20" spans="1:22" s="57" customFormat="1" ht="23.25" customHeight="1" x14ac:dyDescent="0.25">
      <c r="A20" s="42"/>
      <c r="B20" s="43" t="s">
        <v>24</v>
      </c>
      <c r="C20" s="44">
        <v>457</v>
      </c>
      <c r="D20" s="45" t="s">
        <v>63</v>
      </c>
      <c r="E20" s="45" t="s">
        <v>64</v>
      </c>
      <c r="F20" s="45"/>
      <c r="G20" s="45" t="s">
        <v>46</v>
      </c>
      <c r="H20" s="47" t="s">
        <v>47</v>
      </c>
      <c r="I20" s="45"/>
      <c r="J20" s="45" t="s">
        <v>65</v>
      </c>
      <c r="K20" s="48">
        <v>3</v>
      </c>
      <c r="L20" s="48">
        <f t="shared" si="0"/>
        <v>20</v>
      </c>
      <c r="M20" s="50">
        <v>27083.515440000003</v>
      </c>
      <c r="N20" s="48">
        <v>1</v>
      </c>
      <c r="O20" s="50">
        <f t="shared" si="1"/>
        <v>27083.515440000003</v>
      </c>
      <c r="P20" s="51" t="s">
        <v>28</v>
      </c>
      <c r="Q20" s="56"/>
      <c r="R20" s="53" t="s">
        <v>65</v>
      </c>
      <c r="S20" s="54" t="s">
        <v>29</v>
      </c>
      <c r="T20" s="53" t="s">
        <v>30</v>
      </c>
      <c r="U20" s="53" t="s">
        <v>31</v>
      </c>
      <c r="V20" s="56"/>
    </row>
    <row r="21" spans="1:22" ht="23.25" customHeight="1" x14ac:dyDescent="0.25">
      <c r="A21" s="23"/>
      <c r="B21" s="34" t="s">
        <v>24</v>
      </c>
      <c r="C21" s="35">
        <v>457</v>
      </c>
      <c r="D21" s="36" t="s">
        <v>66</v>
      </c>
      <c r="E21" s="36" t="s">
        <v>67</v>
      </c>
      <c r="F21" s="37"/>
      <c r="G21" s="36" t="s">
        <v>46</v>
      </c>
      <c r="H21" s="36"/>
      <c r="I21" s="37"/>
      <c r="J21" s="36" t="s">
        <v>68</v>
      </c>
      <c r="K21" s="38">
        <v>3</v>
      </c>
      <c r="L21" s="38">
        <f t="shared" si="0"/>
        <v>20</v>
      </c>
      <c r="M21" s="39">
        <v>27100.167690000002</v>
      </c>
      <c r="N21" s="38">
        <v>1</v>
      </c>
      <c r="O21" s="40">
        <f t="shared" si="1"/>
        <v>27100.167690000002</v>
      </c>
      <c r="P21" s="41" t="s">
        <v>28</v>
      </c>
      <c r="Q21" s="1"/>
      <c r="R21" s="32" t="s">
        <v>68</v>
      </c>
      <c r="S21" s="33" t="s">
        <v>29</v>
      </c>
      <c r="T21" s="32" t="s">
        <v>30</v>
      </c>
      <c r="U21" s="32" t="s">
        <v>31</v>
      </c>
      <c r="V21" s="1"/>
    </row>
    <row r="22" spans="1:22" ht="23.25" customHeight="1" x14ac:dyDescent="0.25">
      <c r="A22" s="23"/>
      <c r="B22" s="34" t="s">
        <v>24</v>
      </c>
      <c r="C22" s="35">
        <v>457</v>
      </c>
      <c r="D22" s="36" t="s">
        <v>66</v>
      </c>
      <c r="E22" s="36" t="s">
        <v>69</v>
      </c>
      <c r="F22" s="37"/>
      <c r="G22" s="36" t="s">
        <v>46</v>
      </c>
      <c r="H22" s="36"/>
      <c r="I22" s="37"/>
      <c r="J22" s="36" t="s">
        <v>70</v>
      </c>
      <c r="K22" s="38">
        <v>3</v>
      </c>
      <c r="L22" s="38">
        <f t="shared" si="0"/>
        <v>20</v>
      </c>
      <c r="M22" s="39">
        <v>27100.167690000002</v>
      </c>
      <c r="N22" s="38">
        <v>1</v>
      </c>
      <c r="O22" s="40">
        <f t="shared" si="1"/>
        <v>27100.167690000002</v>
      </c>
      <c r="P22" s="41" t="s">
        <v>28</v>
      </c>
      <c r="Q22" s="1"/>
      <c r="R22" s="32" t="s">
        <v>70</v>
      </c>
      <c r="S22" s="33" t="s">
        <v>29</v>
      </c>
      <c r="T22" s="32" t="s">
        <v>30</v>
      </c>
      <c r="U22" s="32" t="s">
        <v>31</v>
      </c>
      <c r="V22" s="1"/>
    </row>
    <row r="23" spans="1:22" s="52" customFormat="1" ht="23.25" customHeight="1" x14ac:dyDescent="0.3">
      <c r="A23" s="42"/>
      <c r="B23" s="43" t="s">
        <v>24</v>
      </c>
      <c r="C23" s="44">
        <v>457</v>
      </c>
      <c r="D23" s="45" t="s">
        <v>71</v>
      </c>
      <c r="E23" s="45" t="s">
        <v>72</v>
      </c>
      <c r="F23" s="46"/>
      <c r="G23" s="45" t="s">
        <v>73</v>
      </c>
      <c r="H23" s="47" t="s">
        <v>47</v>
      </c>
      <c r="I23" s="47"/>
      <c r="J23" s="45" t="s">
        <v>74</v>
      </c>
      <c r="K23" s="48">
        <v>3</v>
      </c>
      <c r="L23" s="48">
        <f t="shared" si="0"/>
        <v>20</v>
      </c>
      <c r="M23" s="49">
        <v>17309.014739999999</v>
      </c>
      <c r="N23" s="48">
        <v>1</v>
      </c>
      <c r="O23" s="50">
        <f t="shared" si="1"/>
        <v>17309.014739999999</v>
      </c>
      <c r="P23" s="51" t="s">
        <v>28</v>
      </c>
      <c r="Q23" s="58"/>
      <c r="R23" s="53" t="s">
        <v>74</v>
      </c>
      <c r="S23" s="54" t="s">
        <v>29</v>
      </c>
      <c r="T23" s="53" t="s">
        <v>30</v>
      </c>
      <c r="U23" s="53" t="s">
        <v>31</v>
      </c>
      <c r="V23" s="58"/>
    </row>
    <row r="24" spans="1:22" s="52" customFormat="1" ht="23.25" customHeight="1" x14ac:dyDescent="0.3">
      <c r="A24" s="42"/>
      <c r="B24" s="43" t="s">
        <v>24</v>
      </c>
      <c r="C24" s="44">
        <v>457</v>
      </c>
      <c r="D24" s="45" t="s">
        <v>75</v>
      </c>
      <c r="E24" s="45" t="s">
        <v>76</v>
      </c>
      <c r="F24" s="46"/>
      <c r="G24" s="45" t="s">
        <v>73</v>
      </c>
      <c r="H24" s="47" t="s">
        <v>47</v>
      </c>
      <c r="I24" s="47"/>
      <c r="J24" s="45" t="s">
        <v>77</v>
      </c>
      <c r="K24" s="48">
        <v>3</v>
      </c>
      <c r="L24" s="48">
        <f t="shared" si="0"/>
        <v>20</v>
      </c>
      <c r="M24" s="49">
        <v>7041.0153600000003</v>
      </c>
      <c r="N24" s="48">
        <v>1</v>
      </c>
      <c r="O24" s="50">
        <f t="shared" si="1"/>
        <v>7041.0153600000003</v>
      </c>
      <c r="P24" s="51" t="s">
        <v>28</v>
      </c>
      <c r="Q24" s="58"/>
      <c r="R24" s="53" t="s">
        <v>77</v>
      </c>
      <c r="S24" s="54" t="s">
        <v>29</v>
      </c>
      <c r="T24" s="53" t="s">
        <v>30</v>
      </c>
      <c r="U24" s="53" t="s">
        <v>31</v>
      </c>
      <c r="V24" s="58"/>
    </row>
    <row r="25" spans="1:22" ht="23.25" customHeight="1" x14ac:dyDescent="0.25">
      <c r="A25" s="23"/>
      <c r="B25" s="34" t="s">
        <v>24</v>
      </c>
      <c r="C25" s="35">
        <v>457</v>
      </c>
      <c r="D25" s="36" t="s">
        <v>78</v>
      </c>
      <c r="E25" s="36" t="s">
        <v>78</v>
      </c>
      <c r="F25" s="37"/>
      <c r="G25" s="36" t="s">
        <v>79</v>
      </c>
      <c r="H25" s="36"/>
      <c r="I25" s="37"/>
      <c r="J25" s="36" t="s">
        <v>80</v>
      </c>
      <c r="K25" s="38">
        <v>2</v>
      </c>
      <c r="L25" s="38">
        <f t="shared" si="0"/>
        <v>20</v>
      </c>
      <c r="M25" s="39">
        <v>34638.258880000009</v>
      </c>
      <c r="N25" s="38">
        <v>1</v>
      </c>
      <c r="O25" s="40">
        <f t="shared" si="1"/>
        <v>34638.258880000009</v>
      </c>
      <c r="P25" s="41" t="s">
        <v>28</v>
      </c>
      <c r="R25" s="32" t="s">
        <v>80</v>
      </c>
      <c r="S25" s="33" t="s">
        <v>29</v>
      </c>
      <c r="T25" s="32" t="s">
        <v>30</v>
      </c>
      <c r="U25" s="32" t="s">
        <v>31</v>
      </c>
    </row>
    <row r="26" spans="1:22" ht="23.25" customHeight="1" x14ac:dyDescent="0.25">
      <c r="A26" s="23"/>
      <c r="B26" s="34" t="s">
        <v>24</v>
      </c>
      <c r="C26" s="35">
        <v>457</v>
      </c>
      <c r="D26" s="36" t="s">
        <v>81</v>
      </c>
      <c r="E26" s="36" t="s">
        <v>81</v>
      </c>
      <c r="F26" s="37"/>
      <c r="G26" s="36" t="s">
        <v>26</v>
      </c>
      <c r="H26" s="36"/>
      <c r="I26" s="37"/>
      <c r="J26" s="36" t="s">
        <v>82</v>
      </c>
      <c r="K26" s="38">
        <v>2</v>
      </c>
      <c r="L26" s="38">
        <f t="shared" si="0"/>
        <v>20</v>
      </c>
      <c r="M26" s="39">
        <v>10202.13048</v>
      </c>
      <c r="N26" s="38">
        <v>1</v>
      </c>
      <c r="O26" s="40">
        <f t="shared" si="1"/>
        <v>10202.13048</v>
      </c>
      <c r="P26" s="41" t="s">
        <v>28</v>
      </c>
      <c r="R26" s="32" t="s">
        <v>82</v>
      </c>
      <c r="S26" s="33" t="s">
        <v>29</v>
      </c>
      <c r="T26" s="32" t="s">
        <v>30</v>
      </c>
      <c r="U26" s="32" t="s">
        <v>31</v>
      </c>
    </row>
    <row r="27" spans="1:22" ht="23.25" customHeight="1" x14ac:dyDescent="0.25">
      <c r="A27" s="23"/>
      <c r="B27" s="34" t="s">
        <v>24</v>
      </c>
      <c r="C27" s="35">
        <v>457</v>
      </c>
      <c r="D27" s="36" t="s">
        <v>33</v>
      </c>
      <c r="E27" s="36" t="s">
        <v>83</v>
      </c>
      <c r="F27" s="37"/>
      <c r="G27" s="36" t="s">
        <v>84</v>
      </c>
      <c r="H27" s="36"/>
      <c r="I27" s="37"/>
      <c r="J27" s="36" t="s">
        <v>85</v>
      </c>
      <c r="K27" s="38">
        <v>2</v>
      </c>
      <c r="L27" s="38">
        <f t="shared" si="0"/>
        <v>20</v>
      </c>
      <c r="M27" s="39">
        <v>11453.096839999998</v>
      </c>
      <c r="N27" s="38">
        <v>1</v>
      </c>
      <c r="O27" s="40">
        <f t="shared" si="1"/>
        <v>11453.096839999998</v>
      </c>
      <c r="P27" s="41" t="s">
        <v>28</v>
      </c>
      <c r="R27" s="32" t="s">
        <v>85</v>
      </c>
      <c r="S27" s="33" t="s">
        <v>29</v>
      </c>
      <c r="T27" s="32" t="s">
        <v>30</v>
      </c>
      <c r="U27" s="32" t="s">
        <v>31</v>
      </c>
    </row>
    <row r="28" spans="1:22" ht="23.25" customHeight="1" x14ac:dyDescent="0.25">
      <c r="A28" s="23"/>
      <c r="B28" s="34" t="s">
        <v>24</v>
      </c>
      <c r="C28" s="35">
        <v>457</v>
      </c>
      <c r="D28" s="36" t="s">
        <v>86</v>
      </c>
      <c r="E28" s="36" t="s">
        <v>87</v>
      </c>
      <c r="F28" s="37"/>
      <c r="G28" s="36" t="s">
        <v>88</v>
      </c>
      <c r="H28" s="36"/>
      <c r="I28" s="37"/>
      <c r="J28" s="36" t="s">
        <v>89</v>
      </c>
      <c r="K28" s="38">
        <v>3</v>
      </c>
      <c r="L28" s="38">
        <f t="shared" si="0"/>
        <v>20</v>
      </c>
      <c r="M28" s="39">
        <v>19232.830679999999</v>
      </c>
      <c r="N28" s="38">
        <v>1</v>
      </c>
      <c r="O28" s="40">
        <f t="shared" si="1"/>
        <v>19232.830679999999</v>
      </c>
      <c r="P28" s="41" t="s">
        <v>28</v>
      </c>
      <c r="R28" s="32" t="s">
        <v>89</v>
      </c>
      <c r="S28" s="33" t="s">
        <v>29</v>
      </c>
      <c r="T28" s="32" t="s">
        <v>30</v>
      </c>
      <c r="U28" s="32" t="s">
        <v>31</v>
      </c>
    </row>
    <row r="29" spans="1:22" ht="23.25" customHeight="1" x14ac:dyDescent="0.25">
      <c r="A29" s="23"/>
      <c r="B29" s="34" t="s">
        <v>24</v>
      </c>
      <c r="C29" s="35">
        <v>457</v>
      </c>
      <c r="D29" s="36" t="s">
        <v>90</v>
      </c>
      <c r="E29" s="36" t="s">
        <v>91</v>
      </c>
      <c r="F29" s="37"/>
      <c r="G29" s="36" t="s">
        <v>92</v>
      </c>
      <c r="H29" s="36"/>
      <c r="I29" s="37"/>
      <c r="J29" s="36" t="s">
        <v>93</v>
      </c>
      <c r="K29" s="38">
        <v>3</v>
      </c>
      <c r="L29" s="38">
        <f t="shared" si="0"/>
        <v>20</v>
      </c>
      <c r="M29" s="39">
        <v>31558.604100000008</v>
      </c>
      <c r="N29" s="38">
        <v>1</v>
      </c>
      <c r="O29" s="40">
        <f t="shared" si="1"/>
        <v>31558.604100000008</v>
      </c>
      <c r="P29" s="41" t="s">
        <v>28</v>
      </c>
      <c r="R29" s="32" t="s">
        <v>93</v>
      </c>
      <c r="S29" s="33" t="s">
        <v>29</v>
      </c>
      <c r="T29" s="32" t="s">
        <v>30</v>
      </c>
      <c r="U29" s="32" t="s">
        <v>31</v>
      </c>
    </row>
    <row r="30" spans="1:22" ht="23.25" customHeight="1" x14ac:dyDescent="0.25">
      <c r="A30" s="23"/>
      <c r="B30" s="34" t="s">
        <v>24</v>
      </c>
      <c r="C30" s="35">
        <v>457</v>
      </c>
      <c r="D30" s="36" t="s">
        <v>94</v>
      </c>
      <c r="E30" s="36" t="s">
        <v>95</v>
      </c>
      <c r="F30" s="37"/>
      <c r="G30" s="36" t="s">
        <v>96</v>
      </c>
      <c r="H30" s="36"/>
      <c r="I30" s="37"/>
      <c r="J30" s="36" t="s">
        <v>97</v>
      </c>
      <c r="K30" s="38">
        <v>3</v>
      </c>
      <c r="L30" s="38">
        <f t="shared" si="0"/>
        <v>20</v>
      </c>
      <c r="M30" s="39">
        <v>19054.170540000003</v>
      </c>
      <c r="N30" s="38">
        <v>1</v>
      </c>
      <c r="O30" s="40">
        <f t="shared" si="1"/>
        <v>19054.170540000003</v>
      </c>
      <c r="P30" s="41" t="s">
        <v>28</v>
      </c>
      <c r="R30" s="32" t="s">
        <v>97</v>
      </c>
      <c r="S30" s="33" t="s">
        <v>29</v>
      </c>
      <c r="T30" s="32" t="s">
        <v>30</v>
      </c>
      <c r="U30" s="32" t="s">
        <v>31</v>
      </c>
    </row>
    <row r="31" spans="1:22" ht="23.25" customHeight="1" x14ac:dyDescent="0.25">
      <c r="A31" s="23"/>
      <c r="B31" s="34" t="s">
        <v>24</v>
      </c>
      <c r="C31" s="35">
        <v>457</v>
      </c>
      <c r="D31" s="36" t="s">
        <v>98</v>
      </c>
      <c r="E31" s="36" t="s">
        <v>99</v>
      </c>
      <c r="F31" s="37"/>
      <c r="G31" s="36" t="s">
        <v>100</v>
      </c>
      <c r="H31" s="36"/>
      <c r="I31" s="37"/>
      <c r="J31" s="36" t="s">
        <v>101</v>
      </c>
      <c r="K31" s="38">
        <v>3</v>
      </c>
      <c r="L31" s="38">
        <f t="shared" si="0"/>
        <v>20</v>
      </c>
      <c r="M31" s="39">
        <v>7443.0376799999995</v>
      </c>
      <c r="N31" s="38">
        <v>1</v>
      </c>
      <c r="O31" s="40">
        <f t="shared" si="1"/>
        <v>7443.0376799999995</v>
      </c>
      <c r="P31" s="41" t="s">
        <v>28</v>
      </c>
      <c r="R31" s="32" t="s">
        <v>101</v>
      </c>
      <c r="S31" s="33" t="s">
        <v>29</v>
      </c>
      <c r="T31" s="32" t="s">
        <v>30</v>
      </c>
      <c r="U31" s="32" t="s">
        <v>31</v>
      </c>
    </row>
    <row r="32" spans="1:22" ht="23.25" customHeight="1" x14ac:dyDescent="0.25">
      <c r="A32" s="23"/>
      <c r="B32" s="34" t="s">
        <v>24</v>
      </c>
      <c r="C32" s="35">
        <v>457</v>
      </c>
      <c r="D32" s="36" t="s">
        <v>98</v>
      </c>
      <c r="E32" s="36" t="s">
        <v>102</v>
      </c>
      <c r="F32" s="37"/>
      <c r="G32" s="36" t="s">
        <v>100</v>
      </c>
      <c r="H32" s="36"/>
      <c r="I32" s="37"/>
      <c r="J32" s="36" t="s">
        <v>103</v>
      </c>
      <c r="K32" s="38">
        <v>3</v>
      </c>
      <c r="L32" s="38">
        <f t="shared" si="0"/>
        <v>20</v>
      </c>
      <c r="M32" s="39">
        <v>7443.0376799999995</v>
      </c>
      <c r="N32" s="38">
        <v>1</v>
      </c>
      <c r="O32" s="40">
        <f t="shared" si="1"/>
        <v>7443.0376799999995</v>
      </c>
      <c r="P32" s="41" t="s">
        <v>28</v>
      </c>
      <c r="R32" s="32" t="s">
        <v>103</v>
      </c>
      <c r="S32" s="33" t="s">
        <v>29</v>
      </c>
      <c r="T32" s="32" t="s">
        <v>30</v>
      </c>
      <c r="U32" s="32" t="s">
        <v>31</v>
      </c>
    </row>
    <row r="33" spans="1:21" ht="23.25" customHeight="1" x14ac:dyDescent="0.25">
      <c r="A33" s="23"/>
      <c r="B33" s="34" t="s">
        <v>24</v>
      </c>
      <c r="C33" s="35">
        <v>457</v>
      </c>
      <c r="D33" s="36" t="s">
        <v>104</v>
      </c>
      <c r="E33" s="36" t="s">
        <v>105</v>
      </c>
      <c r="F33" s="37"/>
      <c r="G33" s="36" t="s">
        <v>55</v>
      </c>
      <c r="H33" s="36"/>
      <c r="I33" s="37"/>
      <c r="J33" s="36" t="s">
        <v>106</v>
      </c>
      <c r="K33" s="38">
        <v>3</v>
      </c>
      <c r="L33" s="38">
        <f t="shared" si="0"/>
        <v>20</v>
      </c>
      <c r="M33" s="39">
        <v>15957.88818</v>
      </c>
      <c r="N33" s="38">
        <v>1</v>
      </c>
      <c r="O33" s="40">
        <f t="shared" si="1"/>
        <v>15957.88818</v>
      </c>
      <c r="P33" s="41" t="s">
        <v>28</v>
      </c>
      <c r="R33" s="32" t="s">
        <v>106</v>
      </c>
      <c r="S33" s="33" t="s">
        <v>29</v>
      </c>
      <c r="T33" s="32" t="s">
        <v>30</v>
      </c>
      <c r="U33" s="32" t="s">
        <v>31</v>
      </c>
    </row>
    <row r="34" spans="1:21" ht="23.25" customHeight="1" x14ac:dyDescent="0.25">
      <c r="A34" s="23"/>
      <c r="B34" s="34" t="s">
        <v>24</v>
      </c>
      <c r="C34" s="35">
        <v>457</v>
      </c>
      <c r="D34" s="36" t="s">
        <v>107</v>
      </c>
      <c r="E34" s="36" t="s">
        <v>108</v>
      </c>
      <c r="F34" s="37"/>
      <c r="G34" s="36" t="s">
        <v>34</v>
      </c>
      <c r="H34" s="36"/>
      <c r="I34" s="37"/>
      <c r="J34" s="36" t="s">
        <v>109</v>
      </c>
      <c r="K34" s="38">
        <v>3</v>
      </c>
      <c r="L34" s="38">
        <f t="shared" si="0"/>
        <v>20</v>
      </c>
      <c r="M34" s="39">
        <v>18882.911400000005</v>
      </c>
      <c r="N34" s="38">
        <v>1</v>
      </c>
      <c r="O34" s="40">
        <f t="shared" si="1"/>
        <v>18882.911400000005</v>
      </c>
      <c r="P34" s="41" t="s">
        <v>28</v>
      </c>
      <c r="R34" s="32" t="s">
        <v>109</v>
      </c>
      <c r="S34" s="33" t="s">
        <v>29</v>
      </c>
      <c r="T34" s="32" t="s">
        <v>30</v>
      </c>
      <c r="U34" s="32" t="s">
        <v>31</v>
      </c>
    </row>
    <row r="35" spans="1:21" ht="23.25" customHeight="1" x14ac:dyDescent="0.25">
      <c r="A35" s="59"/>
      <c r="B35" s="34" t="s">
        <v>24</v>
      </c>
      <c r="C35" s="35">
        <v>455</v>
      </c>
      <c r="D35" s="36" t="s">
        <v>110</v>
      </c>
      <c r="E35" s="36" t="s">
        <v>110</v>
      </c>
      <c r="F35" s="37"/>
      <c r="G35" s="36" t="s">
        <v>73</v>
      </c>
      <c r="H35" s="36"/>
      <c r="I35" s="37"/>
      <c r="J35" s="36" t="s">
        <v>111</v>
      </c>
      <c r="K35" s="38">
        <v>2</v>
      </c>
      <c r="L35" s="38">
        <v>20</v>
      </c>
      <c r="M35" s="39">
        <v>5470.3257999999987</v>
      </c>
      <c r="N35" s="38">
        <v>1</v>
      </c>
      <c r="O35" s="40">
        <f t="shared" si="1"/>
        <v>5470.3257999999987</v>
      </c>
      <c r="P35" s="41" t="s">
        <v>28</v>
      </c>
      <c r="R35" s="32" t="s">
        <v>111</v>
      </c>
      <c r="S35" s="33" t="s">
        <v>29</v>
      </c>
      <c r="T35" s="32" t="s">
        <v>30</v>
      </c>
      <c r="U35" s="32" t="s">
        <v>31</v>
      </c>
    </row>
    <row r="36" spans="1:21" ht="23.25" customHeight="1" x14ac:dyDescent="0.25">
      <c r="A36" s="59"/>
      <c r="B36" s="34" t="s">
        <v>24</v>
      </c>
      <c r="C36" s="35">
        <v>455</v>
      </c>
      <c r="D36" s="36" t="s">
        <v>112</v>
      </c>
      <c r="E36" s="36" t="s">
        <v>113</v>
      </c>
      <c r="F36" s="37"/>
      <c r="G36" s="36" t="s">
        <v>34</v>
      </c>
      <c r="H36" s="36"/>
      <c r="I36" s="37"/>
      <c r="J36" s="36" t="s">
        <v>114</v>
      </c>
      <c r="K36" s="38">
        <v>3</v>
      </c>
      <c r="L36" s="38">
        <v>20</v>
      </c>
      <c r="M36" s="39">
        <v>8876.3153399999992</v>
      </c>
      <c r="N36" s="38">
        <v>1</v>
      </c>
      <c r="O36" s="40">
        <f t="shared" si="1"/>
        <v>8876.3153399999992</v>
      </c>
      <c r="P36" s="41" t="s">
        <v>28</v>
      </c>
      <c r="R36" s="32" t="s">
        <v>114</v>
      </c>
      <c r="S36" s="33" t="s">
        <v>29</v>
      </c>
      <c r="T36" s="32" t="s">
        <v>30</v>
      </c>
      <c r="U36" s="32" t="s">
        <v>31</v>
      </c>
    </row>
    <row r="37" spans="1:21" ht="23.25" customHeight="1" x14ac:dyDescent="0.25">
      <c r="A37" s="59"/>
      <c r="B37" s="34" t="s">
        <v>24</v>
      </c>
      <c r="C37" s="35">
        <v>455</v>
      </c>
      <c r="D37" s="36" t="s">
        <v>112</v>
      </c>
      <c r="E37" s="36" t="s">
        <v>115</v>
      </c>
      <c r="F37" s="37"/>
      <c r="G37" s="36" t="s">
        <v>116</v>
      </c>
      <c r="H37" s="36"/>
      <c r="I37" s="37"/>
      <c r="J37" s="36" t="s">
        <v>117</v>
      </c>
      <c r="K37" s="38">
        <v>3</v>
      </c>
      <c r="L37" s="38">
        <v>20</v>
      </c>
      <c r="M37" s="39">
        <v>11168.701079999999</v>
      </c>
      <c r="N37" s="38">
        <v>1</v>
      </c>
      <c r="O37" s="40">
        <f t="shared" si="1"/>
        <v>11168.701079999999</v>
      </c>
      <c r="P37" s="41" t="s">
        <v>28</v>
      </c>
      <c r="R37" s="32" t="s">
        <v>117</v>
      </c>
      <c r="S37" s="33" t="s">
        <v>29</v>
      </c>
      <c r="T37" s="32" t="s">
        <v>30</v>
      </c>
      <c r="U37" s="32" t="s">
        <v>31</v>
      </c>
    </row>
    <row r="38" spans="1:21" ht="23.25" customHeight="1" x14ac:dyDescent="0.25">
      <c r="A38" s="59"/>
      <c r="B38" s="34" t="s">
        <v>24</v>
      </c>
      <c r="C38" s="35">
        <v>455</v>
      </c>
      <c r="D38" s="36" t="s">
        <v>112</v>
      </c>
      <c r="E38" s="36" t="s">
        <v>118</v>
      </c>
      <c r="F38" s="37"/>
      <c r="G38" s="36" t="s">
        <v>116</v>
      </c>
      <c r="H38" s="36"/>
      <c r="I38" s="37"/>
      <c r="J38" s="36" t="s">
        <v>119</v>
      </c>
      <c r="K38" s="38">
        <v>3</v>
      </c>
      <c r="L38" s="38">
        <v>20</v>
      </c>
      <c r="M38" s="39">
        <v>11168.701079999999</v>
      </c>
      <c r="N38" s="38">
        <v>1</v>
      </c>
      <c r="O38" s="40">
        <f t="shared" si="1"/>
        <v>11168.701079999999</v>
      </c>
      <c r="P38" s="41" t="s">
        <v>28</v>
      </c>
      <c r="R38" s="32" t="s">
        <v>119</v>
      </c>
      <c r="S38" s="33" t="s">
        <v>29</v>
      </c>
      <c r="T38" s="32" t="s">
        <v>30</v>
      </c>
      <c r="U38" s="32" t="s">
        <v>31</v>
      </c>
    </row>
    <row r="39" spans="1:21" ht="23.25" customHeight="1" x14ac:dyDescent="0.25">
      <c r="A39" s="59"/>
      <c r="B39" s="34" t="s">
        <v>24</v>
      </c>
      <c r="C39" s="35">
        <v>455</v>
      </c>
      <c r="D39" s="36" t="s">
        <v>112</v>
      </c>
      <c r="E39" s="36" t="s">
        <v>120</v>
      </c>
      <c r="F39" s="37"/>
      <c r="G39" s="36" t="s">
        <v>116</v>
      </c>
      <c r="H39" s="36"/>
      <c r="I39" s="37"/>
      <c r="J39" s="36" t="s">
        <v>121</v>
      </c>
      <c r="K39" s="38">
        <v>3</v>
      </c>
      <c r="L39" s="38">
        <v>20</v>
      </c>
      <c r="M39" s="39">
        <v>11168.701079999999</v>
      </c>
      <c r="N39" s="38">
        <v>1</v>
      </c>
      <c r="O39" s="40">
        <f t="shared" si="1"/>
        <v>11168.701079999999</v>
      </c>
      <c r="P39" s="41" t="s">
        <v>28</v>
      </c>
      <c r="R39" s="32" t="s">
        <v>121</v>
      </c>
      <c r="S39" s="33" t="s">
        <v>29</v>
      </c>
      <c r="T39" s="32" t="s">
        <v>30</v>
      </c>
      <c r="U39" s="32" t="s">
        <v>31</v>
      </c>
    </row>
    <row r="40" spans="1:21" ht="23.25" customHeight="1" x14ac:dyDescent="0.25">
      <c r="A40" s="59"/>
      <c r="B40" s="34" t="s">
        <v>24</v>
      </c>
      <c r="C40" s="35">
        <v>455</v>
      </c>
      <c r="D40" s="36" t="s">
        <v>112</v>
      </c>
      <c r="E40" s="36" t="s">
        <v>122</v>
      </c>
      <c r="F40" s="37"/>
      <c r="G40" s="36" t="s">
        <v>116</v>
      </c>
      <c r="H40" s="36"/>
      <c r="I40" s="37"/>
      <c r="J40" s="36" t="s">
        <v>123</v>
      </c>
      <c r="K40" s="38">
        <v>3</v>
      </c>
      <c r="L40" s="38">
        <v>20</v>
      </c>
      <c r="M40" s="39">
        <v>11168.701079999999</v>
      </c>
      <c r="N40" s="38">
        <v>1</v>
      </c>
      <c r="O40" s="40">
        <f t="shared" si="1"/>
        <v>11168.701079999999</v>
      </c>
      <c r="P40" s="41" t="s">
        <v>28</v>
      </c>
      <c r="R40" s="32" t="s">
        <v>123</v>
      </c>
      <c r="S40" s="33" t="s">
        <v>29</v>
      </c>
      <c r="T40" s="32" t="s">
        <v>30</v>
      </c>
      <c r="U40" s="32" t="s">
        <v>31</v>
      </c>
    </row>
    <row r="41" spans="1:21" ht="23.25" customHeight="1" x14ac:dyDescent="0.25">
      <c r="A41" s="59"/>
      <c r="B41" s="34" t="s">
        <v>24</v>
      </c>
      <c r="C41" s="35">
        <v>455</v>
      </c>
      <c r="D41" s="36" t="s">
        <v>124</v>
      </c>
      <c r="E41" s="36" t="s">
        <v>125</v>
      </c>
      <c r="F41" s="37"/>
      <c r="G41" s="36" t="s">
        <v>84</v>
      </c>
      <c r="H41" s="36"/>
      <c r="I41" s="37"/>
      <c r="J41" s="36" t="s">
        <v>126</v>
      </c>
      <c r="K41" s="38">
        <v>3</v>
      </c>
      <c r="L41" s="38">
        <v>20</v>
      </c>
      <c r="M41" s="39">
        <v>23147.95968</v>
      </c>
      <c r="N41" s="38">
        <v>1</v>
      </c>
      <c r="O41" s="40">
        <f t="shared" si="1"/>
        <v>23147.95968</v>
      </c>
      <c r="P41" s="41" t="s">
        <v>28</v>
      </c>
      <c r="R41" s="32" t="s">
        <v>126</v>
      </c>
      <c r="S41" s="33" t="s">
        <v>29</v>
      </c>
      <c r="T41" s="32" t="s">
        <v>30</v>
      </c>
      <c r="U41" s="32" t="s">
        <v>31</v>
      </c>
    </row>
    <row r="42" spans="1:21" ht="23.25" customHeight="1" x14ac:dyDescent="0.25">
      <c r="A42" s="59"/>
      <c r="B42" s="34" t="s">
        <v>24</v>
      </c>
      <c r="C42" s="35">
        <v>455</v>
      </c>
      <c r="D42" s="36" t="s">
        <v>127</v>
      </c>
      <c r="E42" s="36" t="s">
        <v>128</v>
      </c>
      <c r="F42" s="37"/>
      <c r="G42" s="36" t="s">
        <v>84</v>
      </c>
      <c r="H42" s="36"/>
      <c r="I42" s="37"/>
      <c r="J42" s="36" t="s">
        <v>129</v>
      </c>
      <c r="K42" s="38">
        <v>3</v>
      </c>
      <c r="L42" s="38">
        <v>20</v>
      </c>
      <c r="M42" s="39">
        <v>20339.280180000002</v>
      </c>
      <c r="N42" s="38">
        <v>1</v>
      </c>
      <c r="O42" s="40">
        <f t="shared" si="1"/>
        <v>20339.280180000002</v>
      </c>
      <c r="P42" s="41" t="s">
        <v>28</v>
      </c>
      <c r="R42" s="32" t="s">
        <v>129</v>
      </c>
      <c r="S42" s="33" t="s">
        <v>29</v>
      </c>
      <c r="T42" s="32" t="s">
        <v>30</v>
      </c>
      <c r="U42" s="32" t="s">
        <v>31</v>
      </c>
    </row>
    <row r="43" spans="1:21" s="52" customFormat="1" ht="23.25" customHeight="1" x14ac:dyDescent="0.25">
      <c r="A43" s="60"/>
      <c r="B43" s="43" t="s">
        <v>24</v>
      </c>
      <c r="C43" s="44">
        <v>455</v>
      </c>
      <c r="D43" s="45" t="s">
        <v>130</v>
      </c>
      <c r="E43" s="45" t="s">
        <v>131</v>
      </c>
      <c r="F43" s="46"/>
      <c r="G43" s="45" t="s">
        <v>73</v>
      </c>
      <c r="H43" s="47" t="s">
        <v>47</v>
      </c>
      <c r="I43" s="46"/>
      <c r="J43" s="45" t="s">
        <v>132</v>
      </c>
      <c r="K43" s="48">
        <v>3</v>
      </c>
      <c r="L43" s="48">
        <v>20</v>
      </c>
      <c r="M43" s="49">
        <v>367503.90798000008</v>
      </c>
      <c r="N43" s="48">
        <v>1</v>
      </c>
      <c r="O43" s="50">
        <f t="shared" si="1"/>
        <v>367503.90798000008</v>
      </c>
      <c r="P43" s="51" t="s">
        <v>28</v>
      </c>
      <c r="R43" s="53" t="s">
        <v>132</v>
      </c>
      <c r="S43" s="54" t="s">
        <v>29</v>
      </c>
      <c r="T43" s="53" t="s">
        <v>30</v>
      </c>
      <c r="U43" s="53" t="s">
        <v>31</v>
      </c>
    </row>
    <row r="44" spans="1:21" ht="23.25" customHeight="1" x14ac:dyDescent="0.25">
      <c r="A44" s="59"/>
      <c r="B44" s="34" t="s">
        <v>24</v>
      </c>
      <c r="C44" s="35">
        <v>455</v>
      </c>
      <c r="D44" s="36" t="s">
        <v>112</v>
      </c>
      <c r="E44" s="36" t="s">
        <v>133</v>
      </c>
      <c r="F44" s="37"/>
      <c r="G44" s="36" t="s">
        <v>79</v>
      </c>
      <c r="H44" s="36"/>
      <c r="I44" s="37"/>
      <c r="J44" s="36" t="s">
        <v>134</v>
      </c>
      <c r="K44" s="38">
        <v>3</v>
      </c>
      <c r="L44" s="38">
        <v>20</v>
      </c>
      <c r="M44" s="39">
        <v>29244.311400000006</v>
      </c>
      <c r="N44" s="38">
        <v>1</v>
      </c>
      <c r="O44" s="40">
        <f t="shared" si="1"/>
        <v>29244.311400000006</v>
      </c>
      <c r="P44" s="41" t="s">
        <v>28</v>
      </c>
      <c r="R44" s="32" t="s">
        <v>134</v>
      </c>
      <c r="S44" s="33" t="s">
        <v>29</v>
      </c>
      <c r="T44" s="32" t="s">
        <v>30</v>
      </c>
      <c r="U44" s="32" t="s">
        <v>31</v>
      </c>
    </row>
    <row r="45" spans="1:21" ht="23.25" customHeight="1" x14ac:dyDescent="0.25">
      <c r="A45" s="59"/>
      <c r="B45" s="34" t="s">
        <v>24</v>
      </c>
      <c r="C45" s="35">
        <v>455</v>
      </c>
      <c r="D45" s="36" t="s">
        <v>135</v>
      </c>
      <c r="E45" s="36" t="s">
        <v>136</v>
      </c>
      <c r="F45" s="37"/>
      <c r="G45" s="36" t="s">
        <v>137</v>
      </c>
      <c r="H45" s="36"/>
      <c r="I45" s="37"/>
      <c r="J45" s="36" t="s">
        <v>138</v>
      </c>
      <c r="K45" s="38">
        <v>3</v>
      </c>
      <c r="L45" s="38">
        <v>20</v>
      </c>
      <c r="M45" s="39">
        <v>20161.508159999998</v>
      </c>
      <c r="N45" s="38">
        <v>1</v>
      </c>
      <c r="O45" s="40">
        <f t="shared" si="1"/>
        <v>20161.508159999998</v>
      </c>
      <c r="P45" s="41" t="s">
        <v>28</v>
      </c>
      <c r="R45" s="32" t="s">
        <v>138</v>
      </c>
      <c r="S45" s="33" t="s">
        <v>29</v>
      </c>
      <c r="T45" s="32" t="s">
        <v>30</v>
      </c>
      <c r="U45" s="32" t="s">
        <v>31</v>
      </c>
    </row>
    <row r="46" spans="1:21" ht="23.25" customHeight="1" x14ac:dyDescent="0.25">
      <c r="A46" s="59"/>
      <c r="B46" s="34" t="s">
        <v>24</v>
      </c>
      <c r="C46" s="35">
        <v>455</v>
      </c>
      <c r="D46" s="36" t="s">
        <v>139</v>
      </c>
      <c r="E46" s="36" t="s">
        <v>140</v>
      </c>
      <c r="F46" s="37"/>
      <c r="G46" s="36" t="s">
        <v>84</v>
      </c>
      <c r="H46" s="36"/>
      <c r="I46" s="37"/>
      <c r="J46" s="36" t="s">
        <v>141</v>
      </c>
      <c r="K46" s="38">
        <v>3</v>
      </c>
      <c r="L46" s="38">
        <v>20</v>
      </c>
      <c r="M46" s="39">
        <v>72855.444000000003</v>
      </c>
      <c r="N46" s="38">
        <v>1</v>
      </c>
      <c r="O46" s="40">
        <f t="shared" si="1"/>
        <v>72855.444000000003</v>
      </c>
      <c r="P46" s="41" t="s">
        <v>28</v>
      </c>
      <c r="R46" s="32" t="s">
        <v>141</v>
      </c>
      <c r="S46" s="33" t="s">
        <v>29</v>
      </c>
      <c r="T46" s="32" t="s">
        <v>30</v>
      </c>
      <c r="U46" s="32" t="s">
        <v>31</v>
      </c>
    </row>
    <row r="47" spans="1:21" ht="23.25" customHeight="1" x14ac:dyDescent="0.25">
      <c r="A47" s="59"/>
      <c r="B47" s="34" t="s">
        <v>24</v>
      </c>
      <c r="C47" s="35">
        <v>455</v>
      </c>
      <c r="D47" s="36" t="s">
        <v>142</v>
      </c>
      <c r="E47" s="36" t="s">
        <v>143</v>
      </c>
      <c r="F47" s="37"/>
      <c r="G47" s="36" t="s">
        <v>84</v>
      </c>
      <c r="H47" s="36"/>
      <c r="I47" s="37"/>
      <c r="J47" s="36" t="s">
        <v>144</v>
      </c>
      <c r="K47" s="38">
        <v>3</v>
      </c>
      <c r="L47" s="38">
        <v>20</v>
      </c>
      <c r="M47" s="39">
        <v>72855.444000000003</v>
      </c>
      <c r="N47" s="38">
        <v>1</v>
      </c>
      <c r="O47" s="40">
        <f t="shared" si="1"/>
        <v>72855.444000000003</v>
      </c>
      <c r="P47" s="41" t="s">
        <v>28</v>
      </c>
      <c r="R47" s="32" t="s">
        <v>144</v>
      </c>
      <c r="S47" s="33" t="s">
        <v>29</v>
      </c>
      <c r="T47" s="32" t="s">
        <v>30</v>
      </c>
      <c r="U47" s="32" t="s">
        <v>31</v>
      </c>
    </row>
    <row r="48" spans="1:21" ht="23.25" customHeight="1" x14ac:dyDescent="0.25">
      <c r="A48" s="59"/>
      <c r="B48" s="34" t="s">
        <v>24</v>
      </c>
      <c r="C48" s="35">
        <v>455</v>
      </c>
      <c r="D48" s="36" t="s">
        <v>139</v>
      </c>
      <c r="E48" s="36" t="s">
        <v>145</v>
      </c>
      <c r="F48" s="37"/>
      <c r="G48" s="36" t="s">
        <v>84</v>
      </c>
      <c r="H48" s="36"/>
      <c r="I48" s="37"/>
      <c r="J48" s="36" t="s">
        <v>146</v>
      </c>
      <c r="K48" s="38">
        <v>3</v>
      </c>
      <c r="L48" s="38">
        <v>20</v>
      </c>
      <c r="M48" s="39">
        <v>72855.444000000003</v>
      </c>
      <c r="N48" s="38">
        <v>1</v>
      </c>
      <c r="O48" s="40">
        <f t="shared" si="1"/>
        <v>72855.444000000003</v>
      </c>
      <c r="P48" s="41" t="s">
        <v>28</v>
      </c>
      <c r="R48" s="32" t="s">
        <v>146</v>
      </c>
      <c r="S48" s="33" t="s">
        <v>29</v>
      </c>
      <c r="T48" s="32" t="s">
        <v>30</v>
      </c>
      <c r="U48" s="32" t="s">
        <v>31</v>
      </c>
    </row>
    <row r="49" spans="1:21" ht="23.25" customHeight="1" x14ac:dyDescent="0.25">
      <c r="A49" s="59"/>
      <c r="B49" s="34" t="s">
        <v>24</v>
      </c>
      <c r="C49" s="35">
        <v>455</v>
      </c>
      <c r="D49" s="36" t="s">
        <v>142</v>
      </c>
      <c r="E49" s="36" t="s">
        <v>147</v>
      </c>
      <c r="F49" s="37"/>
      <c r="G49" s="36" t="s">
        <v>84</v>
      </c>
      <c r="H49" s="36"/>
      <c r="I49" s="37"/>
      <c r="J49" s="36" t="s">
        <v>148</v>
      </c>
      <c r="K49" s="38">
        <v>3</v>
      </c>
      <c r="L49" s="38">
        <v>20</v>
      </c>
      <c r="M49" s="39">
        <v>72855.444000000003</v>
      </c>
      <c r="N49" s="38">
        <v>1</v>
      </c>
      <c r="O49" s="40">
        <f t="shared" si="1"/>
        <v>72855.444000000003</v>
      </c>
      <c r="P49" s="41" t="s">
        <v>28</v>
      </c>
      <c r="R49" s="32" t="s">
        <v>148</v>
      </c>
      <c r="S49" s="33" t="s">
        <v>29</v>
      </c>
      <c r="T49" s="32" t="s">
        <v>30</v>
      </c>
      <c r="U49" s="32" t="s">
        <v>31</v>
      </c>
    </row>
    <row r="50" spans="1:21" ht="23.25" customHeight="1" x14ac:dyDescent="0.25">
      <c r="A50" s="59"/>
      <c r="B50" s="34" t="s">
        <v>24</v>
      </c>
      <c r="C50" s="35">
        <v>455</v>
      </c>
      <c r="D50" s="36" t="s">
        <v>149</v>
      </c>
      <c r="E50" s="36" t="s">
        <v>150</v>
      </c>
      <c r="F50" s="37"/>
      <c r="G50" s="36" t="s">
        <v>84</v>
      </c>
      <c r="H50" s="36"/>
      <c r="I50" s="37"/>
      <c r="J50" s="36" t="s">
        <v>151</v>
      </c>
      <c r="K50" s="38">
        <v>3</v>
      </c>
      <c r="L50" s="38">
        <v>20</v>
      </c>
      <c r="M50" s="39">
        <v>88225.10070000001</v>
      </c>
      <c r="N50" s="38">
        <v>1</v>
      </c>
      <c r="O50" s="40">
        <f t="shared" si="1"/>
        <v>88225.10070000001</v>
      </c>
      <c r="P50" s="41" t="s">
        <v>28</v>
      </c>
      <c r="R50" s="32" t="s">
        <v>151</v>
      </c>
      <c r="S50" s="33" t="s">
        <v>29</v>
      </c>
      <c r="T50" s="32" t="s">
        <v>30</v>
      </c>
      <c r="U50" s="32" t="s">
        <v>31</v>
      </c>
    </row>
    <row r="51" spans="1:21" s="64" customFormat="1" ht="23.25" customHeight="1" x14ac:dyDescent="0.25">
      <c r="A51" s="61"/>
      <c r="B51" s="34" t="s">
        <v>24</v>
      </c>
      <c r="C51" s="35">
        <v>455</v>
      </c>
      <c r="D51" s="62" t="s">
        <v>152</v>
      </c>
      <c r="E51" s="62" t="s">
        <v>153</v>
      </c>
      <c r="F51" s="37"/>
      <c r="G51" s="62" t="s">
        <v>73</v>
      </c>
      <c r="H51" s="62"/>
      <c r="I51" s="37"/>
      <c r="J51" s="62" t="s">
        <v>154</v>
      </c>
      <c r="K51" s="38">
        <v>3</v>
      </c>
      <c r="L51" s="63">
        <v>20</v>
      </c>
      <c r="M51" s="39">
        <v>23651.22768</v>
      </c>
      <c r="N51" s="63">
        <v>1</v>
      </c>
      <c r="O51" s="39">
        <f t="shared" si="1"/>
        <v>23651.22768</v>
      </c>
      <c r="P51" s="41" t="s">
        <v>28</v>
      </c>
      <c r="R51" s="65" t="s">
        <v>154</v>
      </c>
      <c r="S51" s="33" t="s">
        <v>29</v>
      </c>
      <c r="T51" s="32" t="s">
        <v>30</v>
      </c>
      <c r="U51" s="32" t="s">
        <v>31</v>
      </c>
    </row>
    <row r="52" spans="1:21" ht="23.25" customHeight="1" x14ac:dyDescent="0.25">
      <c r="A52" s="59"/>
      <c r="B52" s="34" t="s">
        <v>24</v>
      </c>
      <c r="C52" s="35">
        <v>455</v>
      </c>
      <c r="D52" s="36" t="s">
        <v>155</v>
      </c>
      <c r="E52" s="36" t="s">
        <v>156</v>
      </c>
      <c r="F52" s="37"/>
      <c r="G52" s="36" t="s">
        <v>157</v>
      </c>
      <c r="H52" s="36"/>
      <c r="I52" s="37"/>
      <c r="J52" s="36" t="s">
        <v>158</v>
      </c>
      <c r="K52" s="38">
        <v>3</v>
      </c>
      <c r="L52" s="38">
        <v>20</v>
      </c>
      <c r="M52" s="39">
        <v>19605.545040000001</v>
      </c>
      <c r="N52" s="38">
        <v>1</v>
      </c>
      <c r="O52" s="40">
        <f t="shared" si="1"/>
        <v>19605.545040000001</v>
      </c>
      <c r="P52" s="41" t="s">
        <v>28</v>
      </c>
      <c r="R52" s="32" t="s">
        <v>158</v>
      </c>
      <c r="S52" s="33" t="s">
        <v>29</v>
      </c>
      <c r="T52" s="32" t="s">
        <v>30</v>
      </c>
      <c r="U52" s="32" t="s">
        <v>31</v>
      </c>
    </row>
    <row r="53" spans="1:21" ht="23.25" customHeight="1" x14ac:dyDescent="0.25">
      <c r="A53" s="59"/>
      <c r="B53" s="34" t="s">
        <v>24</v>
      </c>
      <c r="C53" s="35">
        <v>455</v>
      </c>
      <c r="D53" s="36" t="s">
        <v>159</v>
      </c>
      <c r="E53" s="36" t="s">
        <v>160</v>
      </c>
      <c r="F53" s="37"/>
      <c r="G53" s="36" t="s">
        <v>84</v>
      </c>
      <c r="H53" s="36"/>
      <c r="I53" s="37"/>
      <c r="J53" s="36" t="s">
        <v>161</v>
      </c>
      <c r="K53" s="38">
        <v>3</v>
      </c>
      <c r="L53" s="38">
        <v>20</v>
      </c>
      <c r="M53" s="39">
        <v>54245.629500000003</v>
      </c>
      <c r="N53" s="38">
        <v>1</v>
      </c>
      <c r="O53" s="40">
        <f>SUM(M53/N53)</f>
        <v>54245.629500000003</v>
      </c>
      <c r="P53" s="41" t="s">
        <v>28</v>
      </c>
      <c r="R53" s="32" t="s">
        <v>161</v>
      </c>
      <c r="S53" s="33" t="s">
        <v>29</v>
      </c>
      <c r="T53" s="32" t="s">
        <v>30</v>
      </c>
      <c r="U53" s="32" t="s">
        <v>31</v>
      </c>
    </row>
    <row r="54" spans="1:21" ht="23.25" customHeight="1" x14ac:dyDescent="0.25">
      <c r="A54" s="59"/>
      <c r="B54" s="34" t="s">
        <v>24</v>
      </c>
      <c r="C54" s="35">
        <v>455</v>
      </c>
      <c r="D54" s="36" t="s">
        <v>162</v>
      </c>
      <c r="E54" s="36" t="s">
        <v>163</v>
      </c>
      <c r="F54" s="37"/>
      <c r="G54" s="36" t="s">
        <v>34</v>
      </c>
      <c r="H54" s="36"/>
      <c r="I54" s="37"/>
      <c r="J54" s="36" t="s">
        <v>164</v>
      </c>
      <c r="K54" s="38">
        <v>3</v>
      </c>
      <c r="L54" s="38">
        <v>20</v>
      </c>
      <c r="M54" s="39">
        <v>20477.826900000004</v>
      </c>
      <c r="N54" s="38">
        <v>1</v>
      </c>
      <c r="O54" s="40">
        <f t="shared" si="1"/>
        <v>20477.826900000004</v>
      </c>
      <c r="P54" s="41" t="s">
        <v>28</v>
      </c>
      <c r="R54" s="32" t="s">
        <v>164</v>
      </c>
      <c r="S54" s="33" t="s">
        <v>29</v>
      </c>
      <c r="T54" s="32" t="s">
        <v>30</v>
      </c>
      <c r="U54" s="32" t="s">
        <v>31</v>
      </c>
    </row>
    <row r="55" spans="1:21" ht="23.25" customHeight="1" x14ac:dyDescent="0.25">
      <c r="A55" s="59"/>
      <c r="B55" s="34" t="s">
        <v>24</v>
      </c>
      <c r="C55" s="35">
        <v>455</v>
      </c>
      <c r="D55" s="36" t="s">
        <v>165</v>
      </c>
      <c r="E55" s="36" t="s">
        <v>166</v>
      </c>
      <c r="F55" s="37"/>
      <c r="G55" s="36" t="s">
        <v>167</v>
      </c>
      <c r="H55" s="36"/>
      <c r="I55" s="37"/>
      <c r="J55" s="36" t="s">
        <v>168</v>
      </c>
      <c r="K55" s="38">
        <v>3</v>
      </c>
      <c r="L55" s="38">
        <v>20</v>
      </c>
      <c r="M55" s="39">
        <v>97813.540260000009</v>
      </c>
      <c r="N55" s="38">
        <v>1</v>
      </c>
      <c r="O55" s="40">
        <f t="shared" si="1"/>
        <v>97813.540260000009</v>
      </c>
      <c r="P55" s="41" t="s">
        <v>28</v>
      </c>
      <c r="R55" s="32" t="s">
        <v>168</v>
      </c>
      <c r="S55" s="33" t="s">
        <v>29</v>
      </c>
      <c r="T55" s="32" t="s">
        <v>30</v>
      </c>
      <c r="U55" s="32" t="s">
        <v>31</v>
      </c>
    </row>
    <row r="56" spans="1:21" ht="23.25" customHeight="1" x14ac:dyDescent="0.25">
      <c r="A56" s="59"/>
      <c r="B56" s="34" t="s">
        <v>24</v>
      </c>
      <c r="C56" s="35">
        <v>455</v>
      </c>
      <c r="D56" s="36" t="s">
        <v>165</v>
      </c>
      <c r="E56" s="36" t="s">
        <v>169</v>
      </c>
      <c r="F56" s="37"/>
      <c r="G56" s="36" t="s">
        <v>59</v>
      </c>
      <c r="H56" s="36"/>
      <c r="I56" s="37"/>
      <c r="J56" s="36" t="s">
        <v>170</v>
      </c>
      <c r="K56" s="38">
        <v>3</v>
      </c>
      <c r="L56" s="38">
        <v>20</v>
      </c>
      <c r="M56" s="39">
        <v>97813.540260000009</v>
      </c>
      <c r="N56" s="38">
        <v>1</v>
      </c>
      <c r="O56" s="40">
        <f t="shared" si="1"/>
        <v>97813.540260000009</v>
      </c>
      <c r="P56" s="41" t="s">
        <v>28</v>
      </c>
      <c r="R56" s="32" t="s">
        <v>170</v>
      </c>
      <c r="S56" s="33" t="s">
        <v>29</v>
      </c>
      <c r="T56" s="32" t="s">
        <v>30</v>
      </c>
      <c r="U56" s="32" t="s">
        <v>31</v>
      </c>
    </row>
    <row r="57" spans="1:21" ht="23.25" customHeight="1" x14ac:dyDescent="0.25">
      <c r="A57" s="59"/>
      <c r="B57" s="34" t="s">
        <v>24</v>
      </c>
      <c r="C57" s="35">
        <v>455</v>
      </c>
      <c r="D57" s="36" t="s">
        <v>171</v>
      </c>
      <c r="E57" s="36" t="s">
        <v>172</v>
      </c>
      <c r="F57" s="37"/>
      <c r="G57" s="36" t="s">
        <v>167</v>
      </c>
      <c r="H57" s="36"/>
      <c r="I57" s="37"/>
      <c r="J57" s="36" t="s">
        <v>173</v>
      </c>
      <c r="K57" s="38">
        <v>8</v>
      </c>
      <c r="L57" s="38">
        <v>10</v>
      </c>
      <c r="M57" s="39">
        <v>1869480.7583999999</v>
      </c>
      <c r="N57" s="38">
        <v>1</v>
      </c>
      <c r="O57" s="40">
        <f t="shared" si="1"/>
        <v>1869480.7583999999</v>
      </c>
      <c r="P57" s="41" t="s">
        <v>174</v>
      </c>
      <c r="R57" s="32" t="s">
        <v>173</v>
      </c>
      <c r="S57" s="33" t="s">
        <v>29</v>
      </c>
      <c r="T57" s="32" t="s">
        <v>30</v>
      </c>
      <c r="U57" s="32" t="s">
        <v>31</v>
      </c>
    </row>
    <row r="58" spans="1:21" ht="23.25" customHeight="1" x14ac:dyDescent="0.25">
      <c r="A58" s="59"/>
      <c r="B58" s="34" t="s">
        <v>24</v>
      </c>
      <c r="C58" s="35">
        <v>455</v>
      </c>
      <c r="D58" s="36" t="s">
        <v>171</v>
      </c>
      <c r="E58" s="36" t="s">
        <v>175</v>
      </c>
      <c r="F58" s="37"/>
      <c r="G58" s="36" t="s">
        <v>59</v>
      </c>
      <c r="H58" s="36"/>
      <c r="I58" s="37"/>
      <c r="J58" s="36" t="s">
        <v>176</v>
      </c>
      <c r="K58" s="38">
        <v>8</v>
      </c>
      <c r="L58" s="38">
        <v>10</v>
      </c>
      <c r="M58" s="39">
        <v>983241.00711999997</v>
      </c>
      <c r="N58" s="38">
        <v>1</v>
      </c>
      <c r="O58" s="40">
        <f t="shared" si="1"/>
        <v>983241.00711999997</v>
      </c>
      <c r="P58" s="41" t="s">
        <v>174</v>
      </c>
      <c r="Q58" s="66"/>
      <c r="R58" s="32" t="s">
        <v>176</v>
      </c>
      <c r="S58" s="33" t="s">
        <v>29</v>
      </c>
      <c r="T58" s="32" t="s">
        <v>30</v>
      </c>
      <c r="U58" s="32" t="s">
        <v>31</v>
      </c>
    </row>
    <row r="59" spans="1:21" s="74" customFormat="1" ht="23.25" customHeight="1" x14ac:dyDescent="0.25">
      <c r="A59" s="67"/>
      <c r="B59" s="68" t="s">
        <v>24</v>
      </c>
      <c r="C59" s="69">
        <v>455</v>
      </c>
      <c r="D59" s="70" t="s">
        <v>177</v>
      </c>
      <c r="E59" s="70" t="s">
        <v>178</v>
      </c>
      <c r="F59" s="70"/>
      <c r="G59" s="70" t="s">
        <v>46</v>
      </c>
      <c r="H59" s="70" t="s">
        <v>179</v>
      </c>
      <c r="I59" s="70" t="s">
        <v>180</v>
      </c>
      <c r="J59" s="70" t="s">
        <v>181</v>
      </c>
      <c r="K59" s="71"/>
      <c r="L59" s="71"/>
      <c r="M59" s="72"/>
      <c r="N59" s="71"/>
      <c r="O59" s="72"/>
      <c r="P59" s="73"/>
      <c r="R59" s="75" t="s">
        <v>181</v>
      </c>
      <c r="S59" s="76" t="s">
        <v>29</v>
      </c>
      <c r="T59" s="75" t="s">
        <v>30</v>
      </c>
      <c r="U59" s="75" t="s">
        <v>31</v>
      </c>
    </row>
    <row r="60" spans="1:21" ht="23.25" customHeight="1" x14ac:dyDescent="0.25">
      <c r="A60" s="59"/>
      <c r="B60" s="34" t="s">
        <v>24</v>
      </c>
      <c r="C60" s="35">
        <v>455</v>
      </c>
      <c r="D60" s="36" t="s">
        <v>182</v>
      </c>
      <c r="E60" s="36" t="s">
        <v>183</v>
      </c>
      <c r="F60" s="37"/>
      <c r="G60" s="36" t="s">
        <v>137</v>
      </c>
      <c r="H60" s="36"/>
      <c r="I60" s="37"/>
      <c r="J60" s="36" t="s">
        <v>184</v>
      </c>
      <c r="K60" s="38">
        <v>3</v>
      </c>
      <c r="L60" s="38">
        <v>20</v>
      </c>
      <c r="M60" s="39">
        <v>294177.76037999999</v>
      </c>
      <c r="N60" s="38">
        <v>1</v>
      </c>
      <c r="O60" s="40">
        <f t="shared" si="1"/>
        <v>294177.76037999999</v>
      </c>
      <c r="P60" s="41" t="s">
        <v>28</v>
      </c>
      <c r="R60" s="32" t="s">
        <v>184</v>
      </c>
      <c r="S60" s="33" t="s">
        <v>29</v>
      </c>
      <c r="T60" s="32" t="s">
        <v>30</v>
      </c>
      <c r="U60" s="32" t="s">
        <v>31</v>
      </c>
    </row>
    <row r="61" spans="1:21" ht="23.25" customHeight="1" x14ac:dyDescent="0.25">
      <c r="A61" s="59"/>
      <c r="B61" s="34" t="s">
        <v>24</v>
      </c>
      <c r="C61" s="35">
        <v>455</v>
      </c>
      <c r="D61" s="36" t="s">
        <v>185</v>
      </c>
      <c r="E61" s="77" t="s">
        <v>186</v>
      </c>
      <c r="F61" s="37"/>
      <c r="G61" s="36" t="s">
        <v>46</v>
      </c>
      <c r="H61" s="36"/>
      <c r="I61" s="37"/>
      <c r="J61" s="36" t="s">
        <v>187</v>
      </c>
      <c r="K61" s="38">
        <v>3</v>
      </c>
      <c r="L61" s="38">
        <v>20</v>
      </c>
      <c r="M61" s="39">
        <v>118994.0181</v>
      </c>
      <c r="N61" s="38">
        <v>1</v>
      </c>
      <c r="O61" s="40">
        <f t="shared" si="1"/>
        <v>118994.0181</v>
      </c>
      <c r="P61" s="41" t="s">
        <v>28</v>
      </c>
      <c r="R61" s="32" t="s">
        <v>187</v>
      </c>
      <c r="S61" s="33" t="s">
        <v>29</v>
      </c>
      <c r="T61" s="32" t="s">
        <v>30</v>
      </c>
      <c r="U61" s="32" t="s">
        <v>31</v>
      </c>
    </row>
    <row r="62" spans="1:21" ht="23.25" customHeight="1" x14ac:dyDescent="0.25">
      <c r="A62" s="59"/>
      <c r="B62" s="34" t="s">
        <v>24</v>
      </c>
      <c r="C62" s="35">
        <v>455</v>
      </c>
      <c r="D62" s="36" t="s">
        <v>188</v>
      </c>
      <c r="E62" s="36" t="s">
        <v>189</v>
      </c>
      <c r="F62" s="37"/>
      <c r="G62" s="36" t="s">
        <v>157</v>
      </c>
      <c r="H62" s="36"/>
      <c r="I62" s="37"/>
      <c r="J62" s="36" t="s">
        <v>190</v>
      </c>
      <c r="K62" s="38">
        <v>3</v>
      </c>
      <c r="L62" s="38">
        <v>20</v>
      </c>
      <c r="M62" s="39">
        <v>51494.381760000004</v>
      </c>
      <c r="N62" s="38">
        <v>1</v>
      </c>
      <c r="O62" s="40">
        <f t="shared" si="1"/>
        <v>51494.381760000004</v>
      </c>
      <c r="P62" s="41" t="s">
        <v>28</v>
      </c>
      <c r="R62" s="32" t="s">
        <v>190</v>
      </c>
      <c r="S62" s="33" t="s">
        <v>29</v>
      </c>
      <c r="T62" s="32" t="s">
        <v>30</v>
      </c>
      <c r="U62" s="32" t="s">
        <v>31</v>
      </c>
    </row>
    <row r="63" spans="1:21" ht="23.25" customHeight="1" x14ac:dyDescent="0.25">
      <c r="A63" s="59"/>
      <c r="B63" s="34" t="s">
        <v>24</v>
      </c>
      <c r="C63" s="35">
        <v>455</v>
      </c>
      <c r="D63" s="36" t="s">
        <v>191</v>
      </c>
      <c r="E63" s="36" t="s">
        <v>192</v>
      </c>
      <c r="F63" s="62"/>
      <c r="G63" s="36" t="s">
        <v>59</v>
      </c>
      <c r="H63" s="36"/>
      <c r="I63" s="62"/>
      <c r="J63" s="36" t="s">
        <v>193</v>
      </c>
      <c r="K63" s="38">
        <v>3</v>
      </c>
      <c r="L63" s="38">
        <v>20</v>
      </c>
      <c r="M63" s="39">
        <v>25341.024000000001</v>
      </c>
      <c r="N63" s="38">
        <v>1</v>
      </c>
      <c r="O63" s="40">
        <f t="shared" si="1"/>
        <v>25341.024000000001</v>
      </c>
      <c r="P63" s="41" t="s">
        <v>28</v>
      </c>
      <c r="R63" s="32" t="s">
        <v>193</v>
      </c>
      <c r="S63" s="33" t="s">
        <v>29</v>
      </c>
      <c r="T63" s="32" t="s">
        <v>30</v>
      </c>
      <c r="U63" s="32" t="s">
        <v>31</v>
      </c>
    </row>
    <row r="64" spans="1:21" ht="23.25" customHeight="1" x14ac:dyDescent="0.25">
      <c r="A64" s="59"/>
      <c r="B64" s="34" t="s">
        <v>24</v>
      </c>
      <c r="C64" s="35">
        <v>455</v>
      </c>
      <c r="D64" s="36" t="s">
        <v>186</v>
      </c>
      <c r="E64" s="36" t="s">
        <v>186</v>
      </c>
      <c r="F64" s="62"/>
      <c r="G64" s="36" t="s">
        <v>46</v>
      </c>
      <c r="H64" s="36"/>
      <c r="I64" s="62"/>
      <c r="J64" s="36" t="s">
        <v>194</v>
      </c>
      <c r="K64" s="38">
        <v>3</v>
      </c>
      <c r="L64" s="38">
        <v>20</v>
      </c>
      <c r="M64" s="39">
        <v>40103.798699999999</v>
      </c>
      <c r="N64" s="38">
        <v>1</v>
      </c>
      <c r="O64" s="40">
        <f t="shared" si="1"/>
        <v>40103.798699999999</v>
      </c>
      <c r="P64" s="41" t="s">
        <v>28</v>
      </c>
      <c r="R64" s="32" t="s">
        <v>194</v>
      </c>
      <c r="S64" s="33" t="s">
        <v>29</v>
      </c>
      <c r="T64" s="32" t="s">
        <v>30</v>
      </c>
      <c r="U64" s="32" t="s">
        <v>31</v>
      </c>
    </row>
    <row r="65" spans="1:22" s="85" customFormat="1" ht="23.25" customHeight="1" x14ac:dyDescent="0.25">
      <c r="A65" s="78"/>
      <c r="B65" s="79" t="s">
        <v>24</v>
      </c>
      <c r="C65" s="80">
        <v>455</v>
      </c>
      <c r="D65" s="81" t="s">
        <v>195</v>
      </c>
      <c r="E65" s="81" t="s">
        <v>196</v>
      </c>
      <c r="F65" s="81"/>
      <c r="G65" s="81" t="s">
        <v>46</v>
      </c>
      <c r="H65" s="81"/>
      <c r="I65" s="81"/>
      <c r="J65" s="81" t="s">
        <v>197</v>
      </c>
      <c r="K65" s="82">
        <v>3</v>
      </c>
      <c r="L65" s="82">
        <v>20</v>
      </c>
      <c r="M65" s="83">
        <v>118999.34682000001</v>
      </c>
      <c r="N65" s="82">
        <v>1</v>
      </c>
      <c r="O65" s="83">
        <f>SUM(M65/N65)</f>
        <v>118999.34682000001</v>
      </c>
      <c r="P65" s="84" t="s">
        <v>28</v>
      </c>
      <c r="R65" s="86" t="s">
        <v>197</v>
      </c>
      <c r="S65" s="87" t="s">
        <v>29</v>
      </c>
      <c r="T65" s="86" t="s">
        <v>30</v>
      </c>
      <c r="U65" s="86" t="s">
        <v>31</v>
      </c>
    </row>
    <row r="66" spans="1:22" s="88" customFormat="1" ht="23.25" customHeight="1" x14ac:dyDescent="0.25">
      <c r="A66" s="23"/>
      <c r="B66" s="34" t="s">
        <v>24</v>
      </c>
      <c r="C66" s="35">
        <v>455</v>
      </c>
      <c r="D66" s="36" t="s">
        <v>198</v>
      </c>
      <c r="E66" s="36" t="s">
        <v>199</v>
      </c>
      <c r="F66" s="36"/>
      <c r="G66" s="36" t="s">
        <v>157</v>
      </c>
      <c r="H66" s="36"/>
      <c r="I66" s="36"/>
      <c r="J66" s="36" t="s">
        <v>200</v>
      </c>
      <c r="K66" s="38">
        <v>3</v>
      </c>
      <c r="L66" s="38">
        <v>20</v>
      </c>
      <c r="M66" s="40">
        <v>45190.506000000008</v>
      </c>
      <c r="N66" s="38">
        <v>1</v>
      </c>
      <c r="O66" s="40">
        <f t="shared" si="1"/>
        <v>45190.506000000008</v>
      </c>
      <c r="P66" s="41" t="s">
        <v>28</v>
      </c>
      <c r="R66" s="32" t="s">
        <v>200</v>
      </c>
      <c r="S66" s="33" t="s">
        <v>29</v>
      </c>
      <c r="T66" s="32" t="s">
        <v>30</v>
      </c>
      <c r="U66" s="32" t="s">
        <v>31</v>
      </c>
    </row>
    <row r="67" spans="1:22" s="74" customFormat="1" ht="22.5" customHeight="1" x14ac:dyDescent="0.25">
      <c r="A67" s="67"/>
      <c r="B67" s="68" t="s">
        <v>24</v>
      </c>
      <c r="C67" s="69">
        <v>455</v>
      </c>
      <c r="D67" s="70" t="s">
        <v>201</v>
      </c>
      <c r="E67" s="70" t="s">
        <v>202</v>
      </c>
      <c r="F67" s="70"/>
      <c r="G67" s="70" t="s">
        <v>157</v>
      </c>
      <c r="H67" s="70"/>
      <c r="I67" s="70" t="s">
        <v>203</v>
      </c>
      <c r="J67" s="70" t="s">
        <v>204</v>
      </c>
      <c r="K67" s="71"/>
      <c r="L67" s="71"/>
      <c r="M67" s="72"/>
      <c r="N67" s="71"/>
      <c r="O67" s="72"/>
      <c r="P67" s="73"/>
      <c r="R67" s="75" t="s">
        <v>204</v>
      </c>
      <c r="S67" s="76" t="s">
        <v>29</v>
      </c>
      <c r="T67" s="75" t="s">
        <v>30</v>
      </c>
      <c r="U67" s="75" t="s">
        <v>31</v>
      </c>
    </row>
    <row r="68" spans="1:22" s="74" customFormat="1" ht="23.25" customHeight="1" x14ac:dyDescent="0.25">
      <c r="A68" s="67"/>
      <c r="B68" s="68" t="s">
        <v>24</v>
      </c>
      <c r="C68" s="69">
        <v>467</v>
      </c>
      <c r="D68" s="70" t="s">
        <v>205</v>
      </c>
      <c r="E68" s="70" t="s">
        <v>206</v>
      </c>
      <c r="F68" s="70"/>
      <c r="G68" s="70" t="s">
        <v>207</v>
      </c>
      <c r="H68" s="70"/>
      <c r="I68" s="70" t="s">
        <v>208</v>
      </c>
      <c r="J68" s="70" t="s">
        <v>209</v>
      </c>
      <c r="K68" s="71"/>
      <c r="L68" s="71"/>
      <c r="M68" s="72"/>
      <c r="N68" s="71"/>
      <c r="O68" s="71"/>
      <c r="P68" s="73"/>
      <c r="R68" s="75" t="s">
        <v>209</v>
      </c>
      <c r="S68" s="76" t="s">
        <v>29</v>
      </c>
      <c r="T68" s="75" t="s">
        <v>30</v>
      </c>
      <c r="U68" s="75" t="s">
        <v>31</v>
      </c>
    </row>
    <row r="69" spans="1:22" s="64" customFormat="1" ht="23.25" customHeight="1" x14ac:dyDescent="0.25">
      <c r="A69" s="23"/>
      <c r="B69" s="89" t="s">
        <v>210</v>
      </c>
      <c r="C69" s="90">
        <v>1054</v>
      </c>
      <c r="D69" s="62" t="s">
        <v>211</v>
      </c>
      <c r="E69" s="62" t="s">
        <v>212</v>
      </c>
      <c r="F69" s="37"/>
      <c r="G69" s="62"/>
      <c r="H69" s="62"/>
      <c r="I69" s="36"/>
      <c r="J69" s="62" t="s">
        <v>213</v>
      </c>
      <c r="K69" s="63">
        <v>5</v>
      </c>
      <c r="L69" s="63">
        <v>20</v>
      </c>
      <c r="M69" s="39">
        <v>70908</v>
      </c>
      <c r="N69" s="63">
        <v>1</v>
      </c>
      <c r="O69" s="39">
        <f>SUM(M69/N69)</f>
        <v>70908</v>
      </c>
      <c r="P69" s="91" t="s">
        <v>214</v>
      </c>
      <c r="Q69" s="2"/>
      <c r="R69" s="65" t="s">
        <v>213</v>
      </c>
      <c r="S69" s="33" t="s">
        <v>29</v>
      </c>
      <c r="T69" s="3" t="s">
        <v>215</v>
      </c>
      <c r="U69" s="32" t="s">
        <v>31</v>
      </c>
      <c r="V69" s="2"/>
    </row>
    <row r="70" spans="1:22" ht="23.25" customHeight="1" x14ac:dyDescent="0.25">
      <c r="A70" s="23">
        <v>2025</v>
      </c>
      <c r="B70" s="89" t="s">
        <v>216</v>
      </c>
      <c r="C70" s="90">
        <v>1532</v>
      </c>
      <c r="D70" s="36" t="s">
        <v>217</v>
      </c>
      <c r="E70" s="36" t="s">
        <v>218</v>
      </c>
      <c r="F70" s="37"/>
      <c r="G70" s="36"/>
      <c r="H70" s="36"/>
      <c r="I70" s="36"/>
      <c r="J70" s="62" t="s">
        <v>219</v>
      </c>
      <c r="K70" s="38">
        <v>3</v>
      </c>
      <c r="L70" s="38">
        <v>20</v>
      </c>
      <c r="M70" s="39">
        <v>15000</v>
      </c>
      <c r="N70" s="38">
        <v>1</v>
      </c>
      <c r="O70" s="40">
        <f>SUM(M70/N70)</f>
        <v>15000</v>
      </c>
      <c r="P70" s="41" t="s">
        <v>220</v>
      </c>
      <c r="Q70" s="92"/>
      <c r="R70" s="32" t="s">
        <v>219</v>
      </c>
      <c r="S70" s="33" t="s">
        <v>29</v>
      </c>
      <c r="T70" s="93" t="s">
        <v>221</v>
      </c>
      <c r="U70" s="32" t="s">
        <v>31</v>
      </c>
      <c r="V70" s="92"/>
    </row>
    <row r="71" spans="1:22" ht="23.25" customHeight="1" x14ac:dyDescent="0.25">
      <c r="A71" s="23"/>
      <c r="B71" s="89" t="s">
        <v>222</v>
      </c>
      <c r="C71" s="90">
        <v>1703</v>
      </c>
      <c r="D71" s="36" t="s">
        <v>223</v>
      </c>
      <c r="E71" s="36" t="s">
        <v>224</v>
      </c>
      <c r="F71" s="94"/>
      <c r="G71" s="36"/>
      <c r="H71" s="36"/>
      <c r="I71" s="94"/>
      <c r="J71" s="62" t="s">
        <v>225</v>
      </c>
      <c r="K71" s="63">
        <v>3</v>
      </c>
      <c r="L71" s="63">
        <v>20</v>
      </c>
      <c r="M71" s="95">
        <v>17400</v>
      </c>
      <c r="N71" s="96">
        <v>1</v>
      </c>
      <c r="O71" s="40">
        <f t="shared" ref="O71:O86" si="2">SUM(M71/N71)</f>
        <v>17400</v>
      </c>
      <c r="P71" s="97" t="s">
        <v>226</v>
      </c>
      <c r="R71" s="32" t="s">
        <v>225</v>
      </c>
      <c r="S71" s="33" t="s">
        <v>29</v>
      </c>
      <c r="T71" s="3" t="s">
        <v>227</v>
      </c>
      <c r="U71" s="32" t="s">
        <v>31</v>
      </c>
    </row>
    <row r="72" spans="1:22" ht="23.25" customHeight="1" x14ac:dyDescent="0.25">
      <c r="A72" s="23"/>
      <c r="B72" s="89" t="s">
        <v>222</v>
      </c>
      <c r="C72" s="90">
        <v>1703</v>
      </c>
      <c r="D72" s="37" t="s">
        <v>228</v>
      </c>
      <c r="E72" s="37" t="s">
        <v>229</v>
      </c>
      <c r="F72" s="37"/>
      <c r="G72" s="36"/>
      <c r="H72" s="36"/>
      <c r="I72" s="37"/>
      <c r="J72" s="62" t="s">
        <v>230</v>
      </c>
      <c r="K72" s="63">
        <v>3</v>
      </c>
      <c r="L72" s="63">
        <v>20</v>
      </c>
      <c r="M72" s="95">
        <v>21000</v>
      </c>
      <c r="N72" s="96">
        <v>1</v>
      </c>
      <c r="O72" s="40">
        <f t="shared" si="2"/>
        <v>21000</v>
      </c>
      <c r="P72" s="97" t="s">
        <v>226</v>
      </c>
      <c r="R72" s="32" t="s">
        <v>230</v>
      </c>
      <c r="S72" s="33" t="s">
        <v>29</v>
      </c>
      <c r="T72" s="3" t="s">
        <v>227</v>
      </c>
      <c r="U72" s="32" t="s">
        <v>31</v>
      </c>
    </row>
    <row r="73" spans="1:22" ht="23.25" customHeight="1" x14ac:dyDescent="0.25">
      <c r="A73" s="23"/>
      <c r="B73" s="89" t="s">
        <v>216</v>
      </c>
      <c r="C73" s="90">
        <v>2170</v>
      </c>
      <c r="D73" s="37" t="s">
        <v>231</v>
      </c>
      <c r="E73" s="37" t="s">
        <v>232</v>
      </c>
      <c r="F73" s="37"/>
      <c r="G73" s="36" t="s">
        <v>233</v>
      </c>
      <c r="H73" s="36" t="s">
        <v>234</v>
      </c>
      <c r="I73" s="37"/>
      <c r="J73" s="62" t="s">
        <v>235</v>
      </c>
      <c r="K73" s="63">
        <v>3</v>
      </c>
      <c r="L73" s="63">
        <v>20</v>
      </c>
      <c r="M73" s="95">
        <v>89900</v>
      </c>
      <c r="N73" s="96">
        <v>1</v>
      </c>
      <c r="O73" s="40">
        <f t="shared" si="2"/>
        <v>89900</v>
      </c>
      <c r="P73" s="97" t="s">
        <v>236</v>
      </c>
      <c r="R73" s="32" t="s">
        <v>230</v>
      </c>
      <c r="S73" s="33" t="s">
        <v>29</v>
      </c>
      <c r="T73" s="3" t="s">
        <v>221</v>
      </c>
      <c r="U73" s="32" t="s">
        <v>31</v>
      </c>
    </row>
    <row r="74" spans="1:22" ht="23.25" customHeight="1" x14ac:dyDescent="0.25">
      <c r="A74" s="23">
        <v>2026</v>
      </c>
      <c r="B74" s="89" t="s">
        <v>237</v>
      </c>
      <c r="C74" s="90">
        <v>2170</v>
      </c>
      <c r="D74" s="37" t="s">
        <v>238</v>
      </c>
      <c r="E74" s="37" t="s">
        <v>239</v>
      </c>
      <c r="F74" s="37"/>
      <c r="G74" s="36" t="s">
        <v>84</v>
      </c>
      <c r="H74" s="36" t="s">
        <v>240</v>
      </c>
      <c r="I74" s="37"/>
      <c r="J74" s="62" t="s">
        <v>241</v>
      </c>
      <c r="K74" s="63">
        <v>3</v>
      </c>
      <c r="L74" s="63">
        <v>20</v>
      </c>
      <c r="M74" s="95">
        <v>69900</v>
      </c>
      <c r="N74" s="96">
        <v>1</v>
      </c>
      <c r="O74" s="40">
        <f t="shared" si="2"/>
        <v>69900</v>
      </c>
      <c r="P74" s="97">
        <v>2026</v>
      </c>
      <c r="R74" s="32" t="s">
        <v>230</v>
      </c>
      <c r="S74" s="33" t="s">
        <v>29</v>
      </c>
      <c r="T74" s="3" t="s">
        <v>242</v>
      </c>
      <c r="U74" s="32" t="s">
        <v>31</v>
      </c>
    </row>
    <row r="75" spans="1:22" ht="23.25" customHeight="1" x14ac:dyDescent="0.25">
      <c r="A75" s="23"/>
      <c r="B75" s="89" t="s">
        <v>237</v>
      </c>
      <c r="C75" s="90">
        <v>2170</v>
      </c>
      <c r="D75" s="37" t="s">
        <v>238</v>
      </c>
      <c r="E75" s="37" t="s">
        <v>243</v>
      </c>
      <c r="F75" s="37"/>
      <c r="G75" s="36" t="s">
        <v>84</v>
      </c>
      <c r="H75" s="36" t="s">
        <v>244</v>
      </c>
      <c r="I75" s="37"/>
      <c r="J75" s="62" t="s">
        <v>245</v>
      </c>
      <c r="K75" s="63">
        <v>3</v>
      </c>
      <c r="L75" s="63">
        <v>20</v>
      </c>
      <c r="M75" s="95">
        <v>69900</v>
      </c>
      <c r="N75" s="96">
        <v>1</v>
      </c>
      <c r="O75" s="40">
        <f t="shared" si="2"/>
        <v>69900</v>
      </c>
      <c r="P75" s="97">
        <v>2026</v>
      </c>
      <c r="R75" s="32" t="s">
        <v>230</v>
      </c>
      <c r="S75" s="33" t="s">
        <v>29</v>
      </c>
      <c r="T75" s="3" t="s">
        <v>242</v>
      </c>
      <c r="U75" s="32" t="s">
        <v>31</v>
      </c>
    </row>
    <row r="76" spans="1:22" ht="23.25" customHeight="1" x14ac:dyDescent="0.25">
      <c r="A76" s="23"/>
      <c r="B76" s="89" t="s">
        <v>237</v>
      </c>
      <c r="C76" s="90">
        <v>2170</v>
      </c>
      <c r="D76" s="37" t="s">
        <v>238</v>
      </c>
      <c r="E76" s="37" t="s">
        <v>246</v>
      </c>
      <c r="F76" s="37"/>
      <c r="G76" s="36" t="s">
        <v>84</v>
      </c>
      <c r="H76" s="36"/>
      <c r="I76" s="37"/>
      <c r="J76" s="62" t="s">
        <v>247</v>
      </c>
      <c r="K76" s="63">
        <v>3</v>
      </c>
      <c r="L76" s="63">
        <v>20</v>
      </c>
      <c r="M76" s="95">
        <v>69900</v>
      </c>
      <c r="N76" s="96">
        <v>1</v>
      </c>
      <c r="O76" s="40">
        <f t="shared" si="2"/>
        <v>69900</v>
      </c>
      <c r="P76" s="97">
        <v>2026</v>
      </c>
      <c r="R76" s="32" t="s">
        <v>230</v>
      </c>
      <c r="S76" s="33" t="s">
        <v>29</v>
      </c>
      <c r="T76" s="3" t="s">
        <v>242</v>
      </c>
      <c r="U76" s="32" t="s">
        <v>31</v>
      </c>
    </row>
    <row r="77" spans="1:22" ht="23.25" customHeight="1" x14ac:dyDescent="0.25">
      <c r="A77" s="23"/>
      <c r="B77" s="89" t="s">
        <v>237</v>
      </c>
      <c r="C77" s="90">
        <v>2170</v>
      </c>
      <c r="D77" s="37" t="s">
        <v>238</v>
      </c>
      <c r="E77" s="37" t="s">
        <v>248</v>
      </c>
      <c r="F77" s="37"/>
      <c r="G77" s="36" t="s">
        <v>84</v>
      </c>
      <c r="H77" s="36"/>
      <c r="I77" s="37"/>
      <c r="J77" s="62" t="s">
        <v>249</v>
      </c>
      <c r="K77" s="63">
        <v>3</v>
      </c>
      <c r="L77" s="63">
        <v>20</v>
      </c>
      <c r="M77" s="95">
        <v>69900</v>
      </c>
      <c r="N77" s="96">
        <v>1</v>
      </c>
      <c r="O77" s="40">
        <f t="shared" si="2"/>
        <v>69900</v>
      </c>
      <c r="P77" s="97">
        <v>2026</v>
      </c>
      <c r="R77" s="32" t="s">
        <v>230</v>
      </c>
      <c r="S77" s="33" t="s">
        <v>29</v>
      </c>
      <c r="T77" s="3" t="s">
        <v>242</v>
      </c>
      <c r="U77" s="32" t="s">
        <v>31</v>
      </c>
    </row>
    <row r="78" spans="1:22" ht="23.25" customHeight="1" x14ac:dyDescent="0.25">
      <c r="A78" s="23"/>
      <c r="B78" s="89" t="s">
        <v>237</v>
      </c>
      <c r="C78" s="90">
        <v>2170</v>
      </c>
      <c r="D78" s="37" t="s">
        <v>250</v>
      </c>
      <c r="E78" s="37" t="s">
        <v>251</v>
      </c>
      <c r="F78" s="37"/>
      <c r="G78" s="36" t="s">
        <v>233</v>
      </c>
      <c r="H78" s="36" t="s">
        <v>234</v>
      </c>
      <c r="I78" s="37"/>
      <c r="J78" s="62" t="s">
        <v>252</v>
      </c>
      <c r="K78" s="63">
        <v>3</v>
      </c>
      <c r="L78" s="63">
        <v>20</v>
      </c>
      <c r="M78" s="95">
        <v>54900</v>
      </c>
      <c r="N78" s="96">
        <v>1</v>
      </c>
      <c r="O78" s="40">
        <f t="shared" si="2"/>
        <v>54900</v>
      </c>
      <c r="P78" s="97">
        <v>2026</v>
      </c>
      <c r="R78" s="32" t="s">
        <v>230</v>
      </c>
      <c r="S78" s="33" t="s">
        <v>29</v>
      </c>
      <c r="T78" s="3" t="s">
        <v>242</v>
      </c>
      <c r="U78" s="32" t="s">
        <v>31</v>
      </c>
    </row>
    <row r="79" spans="1:22" ht="23.25" customHeight="1" x14ac:dyDescent="0.25">
      <c r="A79" s="23"/>
      <c r="B79" s="89" t="s">
        <v>237</v>
      </c>
      <c r="C79" s="90">
        <v>2170</v>
      </c>
      <c r="D79" s="37" t="s">
        <v>253</v>
      </c>
      <c r="E79" s="37" t="s">
        <v>254</v>
      </c>
      <c r="F79" s="37"/>
      <c r="G79" s="36"/>
      <c r="H79" s="36"/>
      <c r="I79" s="37"/>
      <c r="J79" s="62" t="s">
        <v>255</v>
      </c>
      <c r="K79" s="63">
        <v>3</v>
      </c>
      <c r="L79" s="63">
        <v>20</v>
      </c>
      <c r="M79" s="95">
        <v>54900</v>
      </c>
      <c r="N79" s="96">
        <v>1</v>
      </c>
      <c r="O79" s="40">
        <f t="shared" si="2"/>
        <v>54900</v>
      </c>
      <c r="P79" s="97">
        <v>2026</v>
      </c>
      <c r="R79" s="32" t="s">
        <v>230</v>
      </c>
      <c r="S79" s="33" t="s">
        <v>29</v>
      </c>
      <c r="T79" s="3" t="s">
        <v>242</v>
      </c>
      <c r="U79" s="32" t="s">
        <v>31</v>
      </c>
    </row>
    <row r="80" spans="1:22" ht="23.25" customHeight="1" x14ac:dyDescent="0.25">
      <c r="A80" s="23"/>
      <c r="B80" s="89" t="s">
        <v>256</v>
      </c>
      <c r="C80" s="90">
        <v>2171</v>
      </c>
      <c r="D80" s="37" t="s">
        <v>257</v>
      </c>
      <c r="E80" s="37" t="s">
        <v>258</v>
      </c>
      <c r="F80" s="37"/>
      <c r="G80" s="36"/>
      <c r="H80" s="36"/>
      <c r="I80" s="37"/>
      <c r="J80" s="62" t="s">
        <v>259</v>
      </c>
      <c r="K80" s="63">
        <v>3</v>
      </c>
      <c r="L80" s="63">
        <v>20</v>
      </c>
      <c r="M80" s="95">
        <v>93800</v>
      </c>
      <c r="N80" s="96">
        <v>1</v>
      </c>
      <c r="O80" s="40">
        <f t="shared" si="2"/>
        <v>93800</v>
      </c>
      <c r="P80" s="97">
        <v>2026</v>
      </c>
      <c r="R80" s="32" t="s">
        <v>230</v>
      </c>
      <c r="S80" s="33" t="s">
        <v>29</v>
      </c>
      <c r="T80" s="3" t="s">
        <v>260</v>
      </c>
      <c r="U80" s="32" t="s">
        <v>31</v>
      </c>
    </row>
    <row r="81" spans="1:21" ht="23.25" customHeight="1" x14ac:dyDescent="0.25">
      <c r="A81" s="23"/>
      <c r="B81" s="89" t="s">
        <v>256</v>
      </c>
      <c r="C81" s="90">
        <v>2171</v>
      </c>
      <c r="D81" s="37" t="s">
        <v>257</v>
      </c>
      <c r="E81" s="37" t="s">
        <v>261</v>
      </c>
      <c r="F81" s="37"/>
      <c r="G81" s="36"/>
      <c r="H81" s="36"/>
      <c r="I81" s="37"/>
      <c r="J81" s="62" t="s">
        <v>262</v>
      </c>
      <c r="K81" s="63">
        <v>3</v>
      </c>
      <c r="L81" s="63">
        <v>20</v>
      </c>
      <c r="M81" s="95">
        <v>93800</v>
      </c>
      <c r="N81" s="96">
        <v>1</v>
      </c>
      <c r="O81" s="40">
        <f t="shared" si="2"/>
        <v>93800</v>
      </c>
      <c r="P81" s="97">
        <v>2026</v>
      </c>
      <c r="R81" s="32" t="s">
        <v>230</v>
      </c>
      <c r="S81" s="33" t="s">
        <v>29</v>
      </c>
      <c r="T81" s="3" t="s">
        <v>260</v>
      </c>
      <c r="U81" s="32" t="s">
        <v>31</v>
      </c>
    </row>
    <row r="82" spans="1:21" ht="23.25" customHeight="1" x14ac:dyDescent="0.25">
      <c r="A82" s="23"/>
      <c r="B82" s="89" t="s">
        <v>256</v>
      </c>
      <c r="C82" s="90">
        <v>2171</v>
      </c>
      <c r="D82" s="37" t="s">
        <v>263</v>
      </c>
      <c r="E82" s="37" t="s">
        <v>264</v>
      </c>
      <c r="F82" s="37"/>
      <c r="G82" s="36"/>
      <c r="H82" s="36"/>
      <c r="I82" s="37"/>
      <c r="J82" s="62" t="s">
        <v>265</v>
      </c>
      <c r="K82" s="63">
        <v>3</v>
      </c>
      <c r="L82" s="63">
        <v>20</v>
      </c>
      <c r="M82" s="95">
        <v>74765</v>
      </c>
      <c r="N82" s="96">
        <v>1</v>
      </c>
      <c r="O82" s="40">
        <f t="shared" si="2"/>
        <v>74765</v>
      </c>
      <c r="P82" s="97">
        <v>2026</v>
      </c>
      <c r="R82" s="32" t="s">
        <v>230</v>
      </c>
      <c r="S82" s="33" t="s">
        <v>29</v>
      </c>
      <c r="T82" s="3" t="s">
        <v>260</v>
      </c>
      <c r="U82" s="32" t="s">
        <v>31</v>
      </c>
    </row>
    <row r="83" spans="1:21" ht="23.25" customHeight="1" x14ac:dyDescent="0.25">
      <c r="A83" s="23"/>
      <c r="B83" s="89" t="s">
        <v>256</v>
      </c>
      <c r="C83" s="90">
        <v>2171</v>
      </c>
      <c r="D83" s="37" t="s">
        <v>253</v>
      </c>
      <c r="E83" s="37" t="s">
        <v>266</v>
      </c>
      <c r="F83" s="37" t="s">
        <v>267</v>
      </c>
      <c r="G83" s="36"/>
      <c r="H83" s="36"/>
      <c r="I83" s="37"/>
      <c r="J83" s="62" t="s">
        <v>268</v>
      </c>
      <c r="K83" s="63">
        <v>3</v>
      </c>
      <c r="L83" s="63">
        <v>20</v>
      </c>
      <c r="M83" s="95">
        <v>11990</v>
      </c>
      <c r="N83" s="96">
        <v>1</v>
      </c>
      <c r="O83" s="40">
        <f t="shared" si="2"/>
        <v>11990</v>
      </c>
      <c r="P83" s="97">
        <v>2026</v>
      </c>
      <c r="R83" s="32" t="s">
        <v>230</v>
      </c>
      <c r="S83" s="33" t="s">
        <v>29</v>
      </c>
      <c r="T83" s="3" t="s">
        <v>260</v>
      </c>
      <c r="U83" s="32" t="s">
        <v>31</v>
      </c>
    </row>
    <row r="84" spans="1:21" ht="23.25" customHeight="1" x14ac:dyDescent="0.25">
      <c r="A84" s="23"/>
      <c r="B84" s="89" t="s">
        <v>256</v>
      </c>
      <c r="C84" s="90">
        <v>2171</v>
      </c>
      <c r="D84" s="37" t="s">
        <v>253</v>
      </c>
      <c r="E84" s="37" t="s">
        <v>269</v>
      </c>
      <c r="F84" s="37" t="s">
        <v>270</v>
      </c>
      <c r="G84" s="36"/>
      <c r="H84" s="36"/>
      <c r="I84" s="37"/>
      <c r="J84" s="62" t="s">
        <v>271</v>
      </c>
      <c r="K84" s="63">
        <v>3</v>
      </c>
      <c r="L84" s="63">
        <v>20</v>
      </c>
      <c r="M84" s="95">
        <v>11990</v>
      </c>
      <c r="N84" s="96">
        <v>1</v>
      </c>
      <c r="O84" s="40">
        <f t="shared" si="2"/>
        <v>11990</v>
      </c>
      <c r="P84" s="97">
        <v>2026</v>
      </c>
      <c r="R84" s="32" t="s">
        <v>230</v>
      </c>
      <c r="S84" s="33" t="s">
        <v>29</v>
      </c>
      <c r="T84" s="3" t="s">
        <v>260</v>
      </c>
      <c r="U84" s="32" t="s">
        <v>31</v>
      </c>
    </row>
    <row r="85" spans="1:21" ht="23.25" customHeight="1" x14ac:dyDescent="0.25">
      <c r="A85" s="23"/>
      <c r="B85" s="89" t="s">
        <v>256</v>
      </c>
      <c r="C85" s="90">
        <v>2171</v>
      </c>
      <c r="D85" s="37" t="s">
        <v>253</v>
      </c>
      <c r="E85" s="37" t="s">
        <v>272</v>
      </c>
      <c r="F85" s="37" t="s">
        <v>273</v>
      </c>
      <c r="G85" s="36"/>
      <c r="H85" s="36"/>
      <c r="I85" s="37"/>
      <c r="J85" s="62" t="s">
        <v>274</v>
      </c>
      <c r="K85" s="63">
        <v>3</v>
      </c>
      <c r="L85" s="63">
        <v>20</v>
      </c>
      <c r="M85" s="95">
        <v>11990</v>
      </c>
      <c r="N85" s="96">
        <v>1</v>
      </c>
      <c r="O85" s="40">
        <f t="shared" si="2"/>
        <v>11990</v>
      </c>
      <c r="P85" s="97">
        <v>2026</v>
      </c>
      <c r="R85" s="32" t="s">
        <v>230</v>
      </c>
      <c r="S85" s="33" t="s">
        <v>29</v>
      </c>
      <c r="T85" s="3" t="s">
        <v>260</v>
      </c>
      <c r="U85" s="32" t="s">
        <v>31</v>
      </c>
    </row>
    <row r="86" spans="1:21" ht="23.25" customHeight="1" thickBot="1" x14ac:dyDescent="0.3">
      <c r="A86" s="23"/>
      <c r="B86" s="98" t="s">
        <v>256</v>
      </c>
      <c r="C86" s="90">
        <v>2171</v>
      </c>
      <c r="D86" s="99" t="s">
        <v>253</v>
      </c>
      <c r="E86" s="99" t="s">
        <v>275</v>
      </c>
      <c r="F86" s="99" t="s">
        <v>276</v>
      </c>
      <c r="G86" s="100"/>
      <c r="H86" s="100"/>
      <c r="I86" s="99"/>
      <c r="J86" s="101" t="s">
        <v>277</v>
      </c>
      <c r="K86" s="102">
        <v>3</v>
      </c>
      <c r="L86" s="102">
        <v>20</v>
      </c>
      <c r="M86" s="103">
        <v>11990</v>
      </c>
      <c r="N86" s="104">
        <v>1</v>
      </c>
      <c r="O86" s="105">
        <f t="shared" si="2"/>
        <v>11990</v>
      </c>
      <c r="P86" s="106">
        <v>2026</v>
      </c>
      <c r="R86" s="32" t="s">
        <v>230</v>
      </c>
      <c r="S86" s="33" t="s">
        <v>29</v>
      </c>
      <c r="T86" s="3" t="s">
        <v>260</v>
      </c>
      <c r="U86" s="32" t="s">
        <v>31</v>
      </c>
    </row>
    <row r="87" spans="1:21" x14ac:dyDescent="0.25">
      <c r="B87" s="107"/>
      <c r="C87" s="107"/>
      <c r="D87" s="3"/>
      <c r="E87" s="3"/>
      <c r="F87" s="3"/>
      <c r="G87" s="32"/>
      <c r="H87" s="32"/>
      <c r="I87" s="3"/>
      <c r="J87" s="65"/>
      <c r="K87" s="107"/>
      <c r="L87" s="107"/>
      <c r="M87" s="108"/>
      <c r="N87" s="109"/>
      <c r="O87" s="110"/>
      <c r="P87" s="111"/>
      <c r="R87" s="32"/>
      <c r="S87" s="3"/>
    </row>
    <row r="88" spans="1:21" x14ac:dyDescent="0.25">
      <c r="M88" s="113">
        <f>SUM(M8:M86)</f>
        <v>6060085.1813399997</v>
      </c>
      <c r="N88" s="114"/>
      <c r="O88" s="113">
        <f>SUM(O8:O86)</f>
        <v>6060085.1813399997</v>
      </c>
    </row>
    <row r="89" spans="1:21" x14ac:dyDescent="0.25">
      <c r="M89" s="115" t="s">
        <v>278</v>
      </c>
      <c r="N89" s="109"/>
      <c r="O89" s="3"/>
      <c r="P89" s="116"/>
    </row>
    <row r="90" spans="1:21" x14ac:dyDescent="0.25">
      <c r="P90" s="116"/>
    </row>
    <row r="91" spans="1:21" ht="15.75" x14ac:dyDescent="0.25">
      <c r="D91" s="117" t="s">
        <v>279</v>
      </c>
      <c r="E91" s="3"/>
      <c r="M91" s="118" t="s">
        <v>280</v>
      </c>
      <c r="P91" s="116"/>
    </row>
    <row r="92" spans="1:21" ht="15.75" x14ac:dyDescent="0.25">
      <c r="D92" s="117"/>
      <c r="E92" s="32"/>
      <c r="I92" s="3"/>
      <c r="J92" s="32"/>
      <c r="K92" s="32"/>
      <c r="L92" s="32"/>
      <c r="M92" s="32"/>
      <c r="N92" s="119"/>
      <c r="O92" s="32"/>
      <c r="P92" s="120"/>
    </row>
    <row r="93" spans="1:21" ht="15.75" x14ac:dyDescent="0.25">
      <c r="D93" s="117" t="s">
        <v>281</v>
      </c>
      <c r="E93" s="3"/>
      <c r="J93" s="3"/>
      <c r="K93" s="3"/>
      <c r="L93" s="3"/>
      <c r="P93" s="3"/>
    </row>
    <row r="94" spans="1:21" ht="15.75" x14ac:dyDescent="0.25">
      <c r="D94" s="117"/>
      <c r="E94" s="3"/>
      <c r="J94" s="3"/>
      <c r="K94" s="3"/>
      <c r="L94" s="3"/>
      <c r="P94" s="120"/>
    </row>
    <row r="95" spans="1:21" ht="15.75" x14ac:dyDescent="0.25">
      <c r="D95" s="117" t="s">
        <v>282</v>
      </c>
      <c r="E95" s="3"/>
      <c r="P95" s="116"/>
    </row>
    <row r="96" spans="1:21" ht="12.75" customHeight="1" x14ac:dyDescent="0.25">
      <c r="D96" s="3"/>
      <c r="E96" s="3"/>
      <c r="P96" s="116"/>
    </row>
    <row r="97" spans="4:16" x14ac:dyDescent="0.25">
      <c r="D97" s="3"/>
      <c r="P97" s="116"/>
    </row>
    <row r="98" spans="4:16" ht="12.75" customHeight="1" x14ac:dyDescent="0.25">
      <c r="D98" s="3"/>
    </row>
  </sheetData>
  <mergeCells count="5">
    <mergeCell ref="B1:P1"/>
    <mergeCell ref="B2:P2"/>
    <mergeCell ref="B3:P3"/>
    <mergeCell ref="B4:P4"/>
    <mergeCell ref="B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</sheetPr>
  <dimension ref="A1:S110"/>
  <sheetViews>
    <sheetView workbookViewId="0">
      <selection activeCell="D21" sqref="D21"/>
    </sheetView>
  </sheetViews>
  <sheetFormatPr defaultRowHeight="26.25" x14ac:dyDescent="0.25"/>
  <cols>
    <col min="1" max="1" width="15" style="122" customWidth="1"/>
    <col min="2" max="2" width="9.5703125" style="122" bestFit="1" customWidth="1"/>
    <col min="3" max="3" width="11.28515625" style="122" bestFit="1" customWidth="1"/>
    <col min="4" max="4" width="49.28515625" style="122" customWidth="1"/>
    <col min="5" max="5" width="61.28515625" style="122" bestFit="1" customWidth="1"/>
    <col min="6" max="6" width="14.7109375" style="122" customWidth="1"/>
    <col min="7" max="7" width="5.85546875" style="122" bestFit="1" customWidth="1"/>
    <col min="8" max="8" width="17" style="122" bestFit="1" customWidth="1"/>
    <col min="9" max="9" width="6" style="139" bestFit="1" customWidth="1"/>
    <col min="10" max="10" width="14" style="122" bestFit="1" customWidth="1"/>
    <col min="11" max="11" width="17.28515625" style="122" bestFit="1" customWidth="1"/>
    <col min="12" max="12" width="16" style="122" bestFit="1" customWidth="1"/>
    <col min="13" max="13" width="7.28515625" style="122" bestFit="1" customWidth="1"/>
    <col min="14" max="14" width="3" style="122" customWidth="1"/>
    <col min="15" max="16384" width="9.140625" style="122"/>
  </cols>
  <sheetData>
    <row r="1" spans="1:19" ht="29.25" x14ac:dyDescent="0.25">
      <c r="A1" s="121" t="s">
        <v>283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19" ht="29.25" x14ac:dyDescent="0.25">
      <c r="A2" s="121" t="s">
        <v>1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spans="1:19" ht="29.25" x14ac:dyDescent="0.25">
      <c r="A3" s="121" t="s">
        <v>284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spans="1:19" ht="29.25" x14ac:dyDescent="0.25">
      <c r="A4" s="121" t="s">
        <v>285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spans="1:19" ht="10.5" customHeight="1" x14ac:dyDescent="0.25">
      <c r="A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spans="1:19" x14ac:dyDescent="0.25">
      <c r="A6" s="124" t="str">
        <f>[1]!AG_SMRT("0,Summary Report 1,1")</f>
        <v>Account Code</v>
      </c>
      <c r="B6" s="124" t="s">
        <v>10</v>
      </c>
      <c r="C6" s="124" t="s">
        <v>286</v>
      </c>
      <c r="D6" s="125" t="s">
        <v>13</v>
      </c>
      <c r="E6" s="125" t="s">
        <v>287</v>
      </c>
      <c r="F6" s="125" t="s">
        <v>15</v>
      </c>
      <c r="G6" s="125" t="s">
        <v>16</v>
      </c>
      <c r="H6" s="125" t="s">
        <v>288</v>
      </c>
      <c r="I6" s="125" t="s">
        <v>289</v>
      </c>
      <c r="J6" s="125" t="s">
        <v>290</v>
      </c>
      <c r="K6" s="125" t="s">
        <v>291</v>
      </c>
      <c r="L6" s="125" t="s">
        <v>292</v>
      </c>
    </row>
    <row r="7" spans="1:19" x14ac:dyDescent="0.25">
      <c r="A7" s="126" t="s">
        <v>293</v>
      </c>
      <c r="B7" s="127" t="s">
        <v>294</v>
      </c>
      <c r="C7" s="128">
        <v>44623</v>
      </c>
      <c r="D7" s="126" t="s">
        <v>295</v>
      </c>
      <c r="E7" s="126" t="s">
        <v>296</v>
      </c>
      <c r="F7" s="126" t="s">
        <v>297</v>
      </c>
      <c r="G7" s="126"/>
      <c r="H7" s="126"/>
      <c r="I7" s="129">
        <v>2</v>
      </c>
      <c r="J7" s="130">
        <v>11840</v>
      </c>
      <c r="K7" s="127" t="s">
        <v>298</v>
      </c>
      <c r="L7" s="126" t="s">
        <v>299</v>
      </c>
      <c r="M7" s="32" t="str">
        <f>+A7</f>
        <v>U00001</v>
      </c>
      <c r="N7" s="33" t="s">
        <v>29</v>
      </c>
      <c r="O7" s="32" t="str">
        <f>+B7</f>
        <v>003/2022</v>
      </c>
      <c r="P7" s="32" t="s">
        <v>31</v>
      </c>
    </row>
    <row r="8" spans="1:19" x14ac:dyDescent="0.25">
      <c r="A8" s="126" t="s">
        <v>300</v>
      </c>
      <c r="B8" s="127" t="s">
        <v>301</v>
      </c>
      <c r="C8" s="131" t="s">
        <v>302</v>
      </c>
      <c r="D8" s="126" t="s">
        <v>303</v>
      </c>
      <c r="E8" s="126" t="s">
        <v>304</v>
      </c>
      <c r="F8" s="126" t="s">
        <v>297</v>
      </c>
      <c r="G8" s="126"/>
      <c r="H8" s="126"/>
      <c r="I8" s="129">
        <v>2</v>
      </c>
      <c r="J8" s="130">
        <v>11840</v>
      </c>
      <c r="K8" s="127" t="s">
        <v>298</v>
      </c>
      <c r="L8" s="126" t="s">
        <v>299</v>
      </c>
      <c r="M8" s="32" t="str">
        <f t="shared" ref="M8:M71" si="0">+A8</f>
        <v>U00002</v>
      </c>
      <c r="N8" s="33" t="s">
        <v>29</v>
      </c>
      <c r="O8" s="32" t="str">
        <f t="shared" ref="O8:O71" si="1">+B8</f>
        <v>012/2022</v>
      </c>
      <c r="P8" s="32" t="s">
        <v>31</v>
      </c>
    </row>
    <row r="9" spans="1:19" x14ac:dyDescent="0.25">
      <c r="A9" s="126" t="s">
        <v>305</v>
      </c>
      <c r="B9" s="132" t="s">
        <v>221</v>
      </c>
      <c r="C9" s="133" t="s">
        <v>306</v>
      </c>
      <c r="D9" s="132" t="s">
        <v>307</v>
      </c>
      <c r="E9" s="132" t="s">
        <v>308</v>
      </c>
      <c r="F9" s="132"/>
      <c r="G9" s="132"/>
      <c r="H9" s="132"/>
      <c r="I9" s="129">
        <v>1</v>
      </c>
      <c r="J9" s="134">
        <v>1112</v>
      </c>
      <c r="K9" s="135">
        <v>1511</v>
      </c>
      <c r="L9" s="132" t="s">
        <v>309</v>
      </c>
      <c r="M9" s="32" t="str">
        <f t="shared" si="0"/>
        <v>U00003</v>
      </c>
      <c r="N9" s="33" t="s">
        <v>29</v>
      </c>
      <c r="O9" s="32" t="str">
        <f t="shared" si="1"/>
        <v>001/2025</v>
      </c>
      <c r="P9" s="32" t="s">
        <v>31</v>
      </c>
    </row>
    <row r="10" spans="1:19" x14ac:dyDescent="0.25">
      <c r="A10" s="126" t="s">
        <v>310</v>
      </c>
      <c r="B10" s="126" t="s">
        <v>221</v>
      </c>
      <c r="C10" s="128">
        <v>45901</v>
      </c>
      <c r="D10" s="126" t="s">
        <v>311</v>
      </c>
      <c r="E10" s="126" t="s">
        <v>312</v>
      </c>
      <c r="F10" s="126"/>
      <c r="G10" s="126"/>
      <c r="H10" s="126"/>
      <c r="I10" s="129">
        <v>1</v>
      </c>
      <c r="J10" s="130">
        <f>1767.62+44.77</f>
        <v>1812.3899999999999</v>
      </c>
      <c r="K10" s="127">
        <v>1527</v>
      </c>
      <c r="L10" s="126" t="s">
        <v>309</v>
      </c>
      <c r="M10" s="32" t="str">
        <f t="shared" si="0"/>
        <v>U00004</v>
      </c>
      <c r="N10" s="33" t="s">
        <v>29</v>
      </c>
      <c r="O10" s="32" t="str">
        <f t="shared" si="1"/>
        <v>001/2025</v>
      </c>
      <c r="P10" s="32" t="s">
        <v>31</v>
      </c>
    </row>
    <row r="11" spans="1:19" x14ac:dyDescent="0.25">
      <c r="A11" s="126" t="s">
        <v>313</v>
      </c>
      <c r="B11" s="126" t="s">
        <v>221</v>
      </c>
      <c r="C11" s="128">
        <v>45901</v>
      </c>
      <c r="D11" s="126" t="s">
        <v>311</v>
      </c>
      <c r="E11" s="126" t="s">
        <v>312</v>
      </c>
      <c r="F11" s="126"/>
      <c r="G11" s="126"/>
      <c r="H11" s="126"/>
      <c r="I11" s="129">
        <v>1</v>
      </c>
      <c r="J11" s="130">
        <f>+J10</f>
        <v>1812.3899999999999</v>
      </c>
      <c r="K11" s="127">
        <v>1527</v>
      </c>
      <c r="L11" s="126" t="s">
        <v>309</v>
      </c>
      <c r="M11" s="32" t="str">
        <f t="shared" si="0"/>
        <v>U00005</v>
      </c>
      <c r="N11" s="33" t="s">
        <v>29</v>
      </c>
      <c r="O11" s="32" t="str">
        <f t="shared" si="1"/>
        <v>001/2025</v>
      </c>
      <c r="P11" s="32" t="s">
        <v>31</v>
      </c>
    </row>
    <row r="12" spans="1:19" x14ac:dyDescent="0.25">
      <c r="A12" s="126" t="s">
        <v>314</v>
      </c>
      <c r="B12" s="126" t="s">
        <v>221</v>
      </c>
      <c r="C12" s="128">
        <v>45901</v>
      </c>
      <c r="D12" s="126" t="s">
        <v>315</v>
      </c>
      <c r="E12" s="126" t="s">
        <v>316</v>
      </c>
      <c r="F12" s="126"/>
      <c r="G12" s="126"/>
      <c r="H12" s="126"/>
      <c r="I12" s="129">
        <v>1</v>
      </c>
      <c r="J12" s="130">
        <f>1372.62+44.77</f>
        <v>1417.3899999999999</v>
      </c>
      <c r="K12" s="127">
        <v>1527</v>
      </c>
      <c r="L12" s="126" t="s">
        <v>309</v>
      </c>
      <c r="M12" s="32" t="str">
        <f t="shared" si="0"/>
        <v>U00006</v>
      </c>
      <c r="N12" s="33" t="s">
        <v>29</v>
      </c>
      <c r="O12" s="32" t="str">
        <f t="shared" si="1"/>
        <v>001/2025</v>
      </c>
      <c r="P12" s="32" t="s">
        <v>31</v>
      </c>
    </row>
    <row r="13" spans="1:19" x14ac:dyDescent="0.25">
      <c r="A13" s="126" t="s">
        <v>317</v>
      </c>
      <c r="B13" s="126" t="s">
        <v>221</v>
      </c>
      <c r="C13" s="128">
        <v>45901</v>
      </c>
      <c r="D13" s="126" t="s">
        <v>318</v>
      </c>
      <c r="E13" s="126" t="s">
        <v>319</v>
      </c>
      <c r="F13" s="126"/>
      <c r="G13" s="126"/>
      <c r="H13" s="126"/>
      <c r="I13" s="129">
        <v>1</v>
      </c>
      <c r="J13" s="130">
        <f>2012.82/2</f>
        <v>1006.41</v>
      </c>
      <c r="K13" s="127">
        <v>1527</v>
      </c>
      <c r="L13" s="126" t="s">
        <v>309</v>
      </c>
      <c r="M13" s="32" t="str">
        <f t="shared" si="0"/>
        <v>U00007</v>
      </c>
      <c r="N13" s="33" t="s">
        <v>29</v>
      </c>
      <c r="O13" s="32" t="str">
        <f t="shared" si="1"/>
        <v>001/2025</v>
      </c>
      <c r="P13" s="32" t="s">
        <v>31</v>
      </c>
    </row>
    <row r="14" spans="1:19" x14ac:dyDescent="0.25">
      <c r="A14" s="126" t="s">
        <v>320</v>
      </c>
      <c r="B14" s="126" t="s">
        <v>221</v>
      </c>
      <c r="C14" s="128">
        <v>45901</v>
      </c>
      <c r="D14" s="126" t="s">
        <v>318</v>
      </c>
      <c r="E14" s="126" t="s">
        <v>319</v>
      </c>
      <c r="F14" s="126"/>
      <c r="G14" s="126"/>
      <c r="H14" s="126"/>
      <c r="I14" s="129">
        <v>1</v>
      </c>
      <c r="J14" s="130">
        <f>+J13</f>
        <v>1006.41</v>
      </c>
      <c r="K14" s="127">
        <v>1527</v>
      </c>
      <c r="L14" s="126" t="s">
        <v>309</v>
      </c>
      <c r="M14" s="32" t="str">
        <f t="shared" si="0"/>
        <v>U00008</v>
      </c>
      <c r="N14" s="33" t="s">
        <v>29</v>
      </c>
      <c r="O14" s="32" t="str">
        <f t="shared" si="1"/>
        <v>001/2025</v>
      </c>
      <c r="P14" s="32" t="s">
        <v>31</v>
      </c>
    </row>
    <row r="15" spans="1:19" x14ac:dyDescent="0.25">
      <c r="A15" s="126" t="s">
        <v>321</v>
      </c>
      <c r="B15" s="126" t="s">
        <v>221</v>
      </c>
      <c r="C15" s="128">
        <v>45901</v>
      </c>
      <c r="D15" s="126" t="s">
        <v>322</v>
      </c>
      <c r="E15" s="126" t="s">
        <v>323</v>
      </c>
      <c r="F15" s="126"/>
      <c r="G15" s="126"/>
      <c r="H15" s="126"/>
      <c r="I15" s="129">
        <v>1</v>
      </c>
      <c r="J15" s="130">
        <v>652.66999999999996</v>
      </c>
      <c r="K15" s="127">
        <v>1527</v>
      </c>
      <c r="L15" s="126" t="s">
        <v>309</v>
      </c>
      <c r="M15" s="32" t="str">
        <f t="shared" si="0"/>
        <v>U00009</v>
      </c>
      <c r="N15" s="33" t="s">
        <v>29</v>
      </c>
      <c r="O15" s="32" t="str">
        <f t="shared" si="1"/>
        <v>001/2025</v>
      </c>
      <c r="P15" s="32" t="s">
        <v>31</v>
      </c>
    </row>
    <row r="16" spans="1:19" x14ac:dyDescent="0.25">
      <c r="A16" s="126" t="s">
        <v>324</v>
      </c>
      <c r="B16" s="126" t="s">
        <v>221</v>
      </c>
      <c r="C16" s="128">
        <v>45901</v>
      </c>
      <c r="D16" s="126" t="s">
        <v>322</v>
      </c>
      <c r="E16" s="126" t="s">
        <v>323</v>
      </c>
      <c r="F16" s="126"/>
      <c r="G16" s="126"/>
      <c r="H16" s="126"/>
      <c r="I16" s="129">
        <v>1</v>
      </c>
      <c r="J16" s="130">
        <v>652.66999999999996</v>
      </c>
      <c r="K16" s="127">
        <v>1527</v>
      </c>
      <c r="L16" s="126" t="s">
        <v>309</v>
      </c>
      <c r="M16" s="32" t="str">
        <f t="shared" si="0"/>
        <v>U00010</v>
      </c>
      <c r="N16" s="33" t="s">
        <v>29</v>
      </c>
      <c r="O16" s="32" t="str">
        <f t="shared" si="1"/>
        <v>001/2025</v>
      </c>
      <c r="P16" s="32" t="s">
        <v>31</v>
      </c>
    </row>
    <row r="17" spans="1:16" x14ac:dyDescent="0.25">
      <c r="A17" s="126" t="s">
        <v>325</v>
      </c>
      <c r="B17" s="126" t="s">
        <v>221</v>
      </c>
      <c r="C17" s="128">
        <v>45901</v>
      </c>
      <c r="D17" s="126" t="s">
        <v>322</v>
      </c>
      <c r="E17" s="126" t="s">
        <v>323</v>
      </c>
      <c r="F17" s="126"/>
      <c r="G17" s="126"/>
      <c r="H17" s="126"/>
      <c r="I17" s="129">
        <v>1</v>
      </c>
      <c r="J17" s="130">
        <v>652.66999999999996</v>
      </c>
      <c r="K17" s="127">
        <v>1527</v>
      </c>
      <c r="L17" s="126" t="s">
        <v>309</v>
      </c>
      <c r="M17" s="32" t="str">
        <f t="shared" si="0"/>
        <v>U00011</v>
      </c>
      <c r="N17" s="33" t="s">
        <v>29</v>
      </c>
      <c r="O17" s="32" t="str">
        <f t="shared" si="1"/>
        <v>001/2025</v>
      </c>
      <c r="P17" s="32" t="s">
        <v>31</v>
      </c>
    </row>
    <row r="18" spans="1:16" x14ac:dyDescent="0.25">
      <c r="A18" s="126" t="s">
        <v>326</v>
      </c>
      <c r="B18" s="126" t="s">
        <v>221</v>
      </c>
      <c r="C18" s="128">
        <v>45901</v>
      </c>
      <c r="D18" s="126" t="s">
        <v>327</v>
      </c>
      <c r="E18" s="126" t="s">
        <v>328</v>
      </c>
      <c r="F18" s="126"/>
      <c r="G18" s="126"/>
      <c r="H18" s="126"/>
      <c r="I18" s="129">
        <v>1</v>
      </c>
      <c r="J18" s="130">
        <v>5074.5</v>
      </c>
      <c r="K18" s="127">
        <v>1527</v>
      </c>
      <c r="L18" s="126" t="s">
        <v>309</v>
      </c>
      <c r="M18" s="32" t="str">
        <f t="shared" si="0"/>
        <v>U00012</v>
      </c>
      <c r="N18" s="33" t="s">
        <v>29</v>
      </c>
      <c r="O18" s="32" t="str">
        <f t="shared" si="1"/>
        <v>001/2025</v>
      </c>
      <c r="P18" s="32" t="s">
        <v>31</v>
      </c>
    </row>
    <row r="19" spans="1:16" x14ac:dyDescent="0.25">
      <c r="A19" s="126" t="s">
        <v>329</v>
      </c>
      <c r="B19" s="126" t="s">
        <v>221</v>
      </c>
      <c r="C19" s="128">
        <v>45901</v>
      </c>
      <c r="D19" s="126" t="s">
        <v>330</v>
      </c>
      <c r="E19" s="126" t="s">
        <v>331</v>
      </c>
      <c r="F19" s="126"/>
      <c r="G19" s="126"/>
      <c r="H19" s="126"/>
      <c r="I19" s="129">
        <v>1</v>
      </c>
      <c r="J19" s="130">
        <v>5213.6499999999996</v>
      </c>
      <c r="K19" s="127">
        <v>1527</v>
      </c>
      <c r="L19" s="126" t="s">
        <v>309</v>
      </c>
      <c r="M19" s="32" t="str">
        <f t="shared" si="0"/>
        <v>U00013</v>
      </c>
      <c r="N19" s="33" t="s">
        <v>29</v>
      </c>
      <c r="O19" s="32" t="str">
        <f t="shared" si="1"/>
        <v>001/2025</v>
      </c>
      <c r="P19" s="32" t="s">
        <v>31</v>
      </c>
    </row>
    <row r="20" spans="1:16" x14ac:dyDescent="0.25">
      <c r="A20" s="126" t="s">
        <v>332</v>
      </c>
      <c r="B20" s="126" t="s">
        <v>221</v>
      </c>
      <c r="C20" s="128">
        <v>45901</v>
      </c>
      <c r="D20" s="126" t="s">
        <v>333</v>
      </c>
      <c r="E20" s="126" t="s">
        <v>334</v>
      </c>
      <c r="F20" s="126"/>
      <c r="G20" s="126"/>
      <c r="H20" s="126"/>
      <c r="I20" s="129">
        <v>1</v>
      </c>
      <c r="J20" s="130">
        <f>+(10960+238)/2</f>
        <v>5599</v>
      </c>
      <c r="K20" s="127">
        <v>1527</v>
      </c>
      <c r="L20" s="126" t="s">
        <v>309</v>
      </c>
      <c r="M20" s="32" t="str">
        <f t="shared" si="0"/>
        <v>U00014</v>
      </c>
      <c r="N20" s="33" t="s">
        <v>29</v>
      </c>
      <c r="O20" s="32" t="str">
        <f t="shared" si="1"/>
        <v>001/2025</v>
      </c>
      <c r="P20" s="32" t="s">
        <v>31</v>
      </c>
    </row>
    <row r="21" spans="1:16" x14ac:dyDescent="0.25">
      <c r="A21" s="126" t="s">
        <v>335</v>
      </c>
      <c r="B21" s="126" t="s">
        <v>221</v>
      </c>
      <c r="C21" s="128">
        <v>45901</v>
      </c>
      <c r="D21" s="126" t="s">
        <v>333</v>
      </c>
      <c r="E21" s="126" t="s">
        <v>334</v>
      </c>
      <c r="F21" s="126"/>
      <c r="G21" s="126"/>
      <c r="H21" s="126"/>
      <c r="I21" s="129">
        <v>1</v>
      </c>
      <c r="J21" s="130">
        <f>+(10960+238)/2</f>
        <v>5599</v>
      </c>
      <c r="K21" s="127">
        <v>1527</v>
      </c>
      <c r="L21" s="126" t="s">
        <v>309</v>
      </c>
      <c r="M21" s="32" t="str">
        <f t="shared" si="0"/>
        <v>U00015</v>
      </c>
      <c r="N21" s="33" t="s">
        <v>29</v>
      </c>
      <c r="O21" s="32" t="str">
        <f t="shared" si="1"/>
        <v>001/2025</v>
      </c>
      <c r="P21" s="32" t="s">
        <v>31</v>
      </c>
    </row>
    <row r="22" spans="1:16" x14ac:dyDescent="0.25">
      <c r="A22" s="126" t="s">
        <v>336</v>
      </c>
      <c r="B22" s="126" t="s">
        <v>221</v>
      </c>
      <c r="C22" s="128">
        <v>45901</v>
      </c>
      <c r="D22" s="126" t="s">
        <v>337</v>
      </c>
      <c r="E22" s="126" t="s">
        <v>338</v>
      </c>
      <c r="F22" s="126"/>
      <c r="G22" s="126"/>
      <c r="H22" s="126"/>
      <c r="I22" s="129">
        <v>1</v>
      </c>
      <c r="J22" s="130">
        <v>4282.8</v>
      </c>
      <c r="K22" s="127">
        <v>1527</v>
      </c>
      <c r="L22" s="126" t="s">
        <v>309</v>
      </c>
      <c r="M22" s="32" t="str">
        <f t="shared" si="0"/>
        <v>U00016</v>
      </c>
      <c r="N22" s="33" t="s">
        <v>29</v>
      </c>
      <c r="O22" s="32" t="str">
        <f t="shared" si="1"/>
        <v>001/2025</v>
      </c>
      <c r="P22" s="32" t="s">
        <v>31</v>
      </c>
    </row>
    <row r="23" spans="1:16" x14ac:dyDescent="0.25">
      <c r="A23" s="126" t="s">
        <v>339</v>
      </c>
      <c r="B23" s="126" t="s">
        <v>340</v>
      </c>
      <c r="C23" s="131" t="s">
        <v>341</v>
      </c>
      <c r="D23" s="126" t="s">
        <v>342</v>
      </c>
      <c r="E23" s="126" t="s">
        <v>343</v>
      </c>
      <c r="F23" s="126"/>
      <c r="G23" s="126"/>
      <c r="H23" s="126"/>
      <c r="I23" s="129">
        <v>1</v>
      </c>
      <c r="J23" s="130">
        <v>2432</v>
      </c>
      <c r="K23" s="127">
        <v>1584</v>
      </c>
      <c r="L23" s="126" t="s">
        <v>309</v>
      </c>
      <c r="M23" s="32" t="str">
        <f t="shared" si="0"/>
        <v>U00017</v>
      </c>
      <c r="N23" s="33" t="s">
        <v>29</v>
      </c>
      <c r="O23" s="32" t="str">
        <f t="shared" si="1"/>
        <v>003/2025</v>
      </c>
      <c r="P23" s="32" t="s">
        <v>31</v>
      </c>
    </row>
    <row r="24" spans="1:16" x14ac:dyDescent="0.25">
      <c r="A24" s="126" t="s">
        <v>344</v>
      </c>
      <c r="B24" s="126" t="s">
        <v>345</v>
      </c>
      <c r="C24" s="131" t="s">
        <v>346</v>
      </c>
      <c r="D24" s="126" t="s">
        <v>347</v>
      </c>
      <c r="E24" s="126" t="s">
        <v>348</v>
      </c>
      <c r="F24" s="126"/>
      <c r="G24" s="126"/>
      <c r="H24" s="126"/>
      <c r="I24" s="129">
        <v>1</v>
      </c>
      <c r="J24" s="130">
        <v>1836</v>
      </c>
      <c r="K24" s="127">
        <v>1832</v>
      </c>
      <c r="L24" s="126" t="s">
        <v>309</v>
      </c>
      <c r="M24" s="32" t="str">
        <f t="shared" si="0"/>
        <v>U00018</v>
      </c>
      <c r="N24" s="33" t="s">
        <v>29</v>
      </c>
      <c r="O24" s="32" t="str">
        <f t="shared" si="1"/>
        <v>010/2025</v>
      </c>
      <c r="P24" s="32" t="s">
        <v>31</v>
      </c>
    </row>
    <row r="25" spans="1:16" x14ac:dyDescent="0.25">
      <c r="A25" s="126" t="s">
        <v>349</v>
      </c>
      <c r="B25" s="126" t="s">
        <v>350</v>
      </c>
      <c r="C25" s="131" t="s">
        <v>351</v>
      </c>
      <c r="D25" s="126" t="s">
        <v>352</v>
      </c>
      <c r="E25" s="126" t="s">
        <v>353</v>
      </c>
      <c r="F25" s="126"/>
      <c r="G25" s="126"/>
      <c r="H25" s="126"/>
      <c r="I25" s="129">
        <v>1</v>
      </c>
      <c r="J25" s="130">
        <v>1724</v>
      </c>
      <c r="K25" s="127">
        <v>1924</v>
      </c>
      <c r="L25" s="126" t="s">
        <v>309</v>
      </c>
      <c r="M25" s="32" t="str">
        <f t="shared" si="0"/>
        <v>U00019</v>
      </c>
      <c r="N25" s="33" t="s">
        <v>29</v>
      </c>
      <c r="O25" s="32" t="str">
        <f t="shared" si="1"/>
        <v>001/2026</v>
      </c>
      <c r="P25" s="32" t="s">
        <v>31</v>
      </c>
    </row>
    <row r="26" spans="1:16" x14ac:dyDescent="0.25">
      <c r="A26" s="126" t="s">
        <v>354</v>
      </c>
      <c r="B26" s="126" t="s">
        <v>350</v>
      </c>
      <c r="C26" s="131" t="s">
        <v>355</v>
      </c>
      <c r="D26" s="126" t="s">
        <v>356</v>
      </c>
      <c r="E26" s="126" t="s">
        <v>357</v>
      </c>
      <c r="F26" s="126"/>
      <c r="G26" s="126"/>
      <c r="H26" s="126"/>
      <c r="I26" s="129">
        <v>1</v>
      </c>
      <c r="J26" s="130">
        <v>3320</v>
      </c>
      <c r="K26" s="127">
        <v>1924</v>
      </c>
      <c r="L26" s="126" t="s">
        <v>309</v>
      </c>
      <c r="M26" s="32" t="str">
        <f t="shared" si="0"/>
        <v>U00020</v>
      </c>
      <c r="N26" s="33" t="s">
        <v>29</v>
      </c>
      <c r="O26" s="32" t="str">
        <f t="shared" si="1"/>
        <v>001/2026</v>
      </c>
      <c r="P26" s="32" t="s">
        <v>31</v>
      </c>
    </row>
    <row r="27" spans="1:16" x14ac:dyDescent="0.25">
      <c r="A27" s="126" t="s">
        <v>358</v>
      </c>
      <c r="B27" s="126" t="s">
        <v>350</v>
      </c>
      <c r="C27" s="131" t="s">
        <v>359</v>
      </c>
      <c r="D27" s="126" t="s">
        <v>360</v>
      </c>
      <c r="E27" s="126" t="s">
        <v>361</v>
      </c>
      <c r="F27" s="126"/>
      <c r="G27" s="126"/>
      <c r="H27" s="126"/>
      <c r="I27" s="129">
        <v>1</v>
      </c>
      <c r="J27" s="130">
        <v>3608</v>
      </c>
      <c r="K27" s="127">
        <v>1995</v>
      </c>
      <c r="L27" s="126" t="s">
        <v>309</v>
      </c>
      <c r="M27" s="32" t="str">
        <f t="shared" si="0"/>
        <v>U00021</v>
      </c>
      <c r="N27" s="33" t="s">
        <v>29</v>
      </c>
      <c r="O27" s="32" t="str">
        <f t="shared" si="1"/>
        <v>001/2026</v>
      </c>
      <c r="P27" s="32" t="s">
        <v>31</v>
      </c>
    </row>
    <row r="28" spans="1:16" x14ac:dyDescent="0.25">
      <c r="A28" s="126" t="s">
        <v>362</v>
      </c>
      <c r="B28" s="126" t="s">
        <v>350</v>
      </c>
      <c r="C28" s="131" t="s">
        <v>359</v>
      </c>
      <c r="D28" s="126" t="s">
        <v>363</v>
      </c>
      <c r="E28" s="126" t="s">
        <v>364</v>
      </c>
      <c r="F28" s="126"/>
      <c r="G28" s="126"/>
      <c r="H28" s="126"/>
      <c r="I28" s="129">
        <v>1</v>
      </c>
      <c r="J28" s="130">
        <v>1419</v>
      </c>
      <c r="K28" s="127">
        <v>1995</v>
      </c>
      <c r="L28" s="126" t="s">
        <v>309</v>
      </c>
      <c r="M28" s="32" t="str">
        <f t="shared" si="0"/>
        <v>U00022</v>
      </c>
      <c r="N28" s="33" t="s">
        <v>29</v>
      </c>
      <c r="O28" s="32" t="str">
        <f t="shared" si="1"/>
        <v>001/2026</v>
      </c>
      <c r="P28" s="32" t="s">
        <v>31</v>
      </c>
    </row>
    <row r="29" spans="1:16" x14ac:dyDescent="0.25">
      <c r="A29" s="126" t="s">
        <v>365</v>
      </c>
      <c r="B29" s="126" t="s">
        <v>242</v>
      </c>
      <c r="C29" s="128">
        <v>46297</v>
      </c>
      <c r="D29" s="126" t="s">
        <v>366</v>
      </c>
      <c r="E29" s="126" t="s">
        <v>367</v>
      </c>
      <c r="F29" s="126"/>
      <c r="G29" s="126"/>
      <c r="H29" s="126"/>
      <c r="I29" s="129">
        <v>1</v>
      </c>
      <c r="J29" s="130">
        <v>1100</v>
      </c>
      <c r="K29" s="127">
        <v>1964</v>
      </c>
      <c r="L29" s="126" t="s">
        <v>309</v>
      </c>
      <c r="M29" s="32" t="str">
        <f t="shared" si="0"/>
        <v>U00023</v>
      </c>
      <c r="N29" s="33" t="s">
        <v>29</v>
      </c>
      <c r="O29" s="32" t="str">
        <f t="shared" si="1"/>
        <v>002/2026</v>
      </c>
      <c r="P29" s="32" t="s">
        <v>31</v>
      </c>
    </row>
    <row r="30" spans="1:16" x14ac:dyDescent="0.25">
      <c r="A30" s="126" t="s">
        <v>368</v>
      </c>
      <c r="B30" s="126" t="s">
        <v>242</v>
      </c>
      <c r="C30" s="131" t="s">
        <v>369</v>
      </c>
      <c r="D30" s="126" t="s">
        <v>370</v>
      </c>
      <c r="E30" s="126" t="s">
        <v>371</v>
      </c>
      <c r="F30" s="126"/>
      <c r="G30" s="126"/>
      <c r="H30" s="126"/>
      <c r="I30" s="129">
        <v>1</v>
      </c>
      <c r="J30" s="130">
        <v>599</v>
      </c>
      <c r="K30" s="127">
        <v>1974</v>
      </c>
      <c r="L30" s="126" t="s">
        <v>309</v>
      </c>
      <c r="M30" s="32" t="str">
        <f t="shared" si="0"/>
        <v>U00024</v>
      </c>
      <c r="N30" s="33" t="s">
        <v>29</v>
      </c>
      <c r="O30" s="32" t="str">
        <f t="shared" si="1"/>
        <v>002/2026</v>
      </c>
      <c r="P30" s="32" t="s">
        <v>31</v>
      </c>
    </row>
    <row r="31" spans="1:16" x14ac:dyDescent="0.25">
      <c r="A31" s="126" t="s">
        <v>372</v>
      </c>
      <c r="B31" s="126" t="s">
        <v>242</v>
      </c>
      <c r="C31" s="131" t="s">
        <v>369</v>
      </c>
      <c r="D31" s="126" t="s">
        <v>373</v>
      </c>
      <c r="E31" s="126" t="s">
        <v>374</v>
      </c>
      <c r="F31" s="126"/>
      <c r="G31" s="126"/>
      <c r="H31" s="126"/>
      <c r="I31" s="129">
        <v>1</v>
      </c>
      <c r="J31" s="130">
        <v>599</v>
      </c>
      <c r="K31" s="127">
        <v>1974</v>
      </c>
      <c r="L31" s="126" t="s">
        <v>309</v>
      </c>
      <c r="M31" s="32" t="str">
        <f t="shared" si="0"/>
        <v>U00025</v>
      </c>
      <c r="N31" s="33" t="s">
        <v>29</v>
      </c>
      <c r="O31" s="32" t="str">
        <f t="shared" si="1"/>
        <v>002/2026</v>
      </c>
      <c r="P31" s="32" t="s">
        <v>31</v>
      </c>
    </row>
    <row r="32" spans="1:16" x14ac:dyDescent="0.25">
      <c r="A32" s="126" t="s">
        <v>375</v>
      </c>
      <c r="B32" s="126" t="s">
        <v>242</v>
      </c>
      <c r="C32" s="131" t="s">
        <v>369</v>
      </c>
      <c r="D32" s="126" t="s">
        <v>376</v>
      </c>
      <c r="E32" s="126" t="s">
        <v>377</v>
      </c>
      <c r="F32" s="126"/>
      <c r="G32" s="126"/>
      <c r="H32" s="126"/>
      <c r="I32" s="129">
        <v>1</v>
      </c>
      <c r="J32" s="130">
        <v>599</v>
      </c>
      <c r="K32" s="127">
        <v>1974</v>
      </c>
      <c r="L32" s="126" t="s">
        <v>309</v>
      </c>
      <c r="M32" s="32" t="str">
        <f t="shared" si="0"/>
        <v>U00026</v>
      </c>
      <c r="N32" s="33" t="s">
        <v>29</v>
      </c>
      <c r="O32" s="32" t="str">
        <f t="shared" si="1"/>
        <v>002/2026</v>
      </c>
      <c r="P32" s="32" t="s">
        <v>31</v>
      </c>
    </row>
    <row r="33" spans="1:16" x14ac:dyDescent="0.25">
      <c r="A33" s="126" t="s">
        <v>378</v>
      </c>
      <c r="B33" s="126" t="s">
        <v>242</v>
      </c>
      <c r="C33" s="131" t="s">
        <v>369</v>
      </c>
      <c r="D33" s="126" t="s">
        <v>379</v>
      </c>
      <c r="E33" s="126" t="s">
        <v>380</v>
      </c>
      <c r="F33" s="126"/>
      <c r="G33" s="126"/>
      <c r="H33" s="126"/>
      <c r="I33" s="129">
        <v>1</v>
      </c>
      <c r="J33" s="130">
        <v>599</v>
      </c>
      <c r="K33" s="127">
        <v>1974</v>
      </c>
      <c r="L33" s="126" t="s">
        <v>309</v>
      </c>
      <c r="M33" s="32" t="str">
        <f t="shared" si="0"/>
        <v>U00027</v>
      </c>
      <c r="N33" s="33" t="s">
        <v>29</v>
      </c>
      <c r="O33" s="32" t="str">
        <f t="shared" si="1"/>
        <v>002/2026</v>
      </c>
      <c r="P33" s="32" t="s">
        <v>31</v>
      </c>
    </row>
    <row r="34" spans="1:16" x14ac:dyDescent="0.25">
      <c r="A34" s="126" t="s">
        <v>381</v>
      </c>
      <c r="B34" s="126" t="s">
        <v>242</v>
      </c>
      <c r="C34" s="131" t="s">
        <v>369</v>
      </c>
      <c r="D34" s="126" t="s">
        <v>382</v>
      </c>
      <c r="E34" s="126" t="s">
        <v>383</v>
      </c>
      <c r="F34" s="126"/>
      <c r="G34" s="126"/>
      <c r="H34" s="126"/>
      <c r="I34" s="129">
        <v>1</v>
      </c>
      <c r="J34" s="130">
        <v>599</v>
      </c>
      <c r="K34" s="127">
        <v>1974</v>
      </c>
      <c r="L34" s="126" t="s">
        <v>309</v>
      </c>
      <c r="M34" s="32" t="str">
        <f t="shared" si="0"/>
        <v>U00028</v>
      </c>
      <c r="N34" s="33" t="s">
        <v>29</v>
      </c>
      <c r="O34" s="32" t="str">
        <f t="shared" si="1"/>
        <v>002/2026</v>
      </c>
      <c r="P34" s="32" t="s">
        <v>31</v>
      </c>
    </row>
    <row r="35" spans="1:16" x14ac:dyDescent="0.25">
      <c r="A35" s="126" t="s">
        <v>384</v>
      </c>
      <c r="B35" s="126" t="s">
        <v>242</v>
      </c>
      <c r="C35" s="131" t="s">
        <v>369</v>
      </c>
      <c r="D35" s="126" t="s">
        <v>385</v>
      </c>
      <c r="E35" s="126" t="s">
        <v>386</v>
      </c>
      <c r="F35" s="126"/>
      <c r="G35" s="126"/>
      <c r="H35" s="126"/>
      <c r="I35" s="129">
        <v>1</v>
      </c>
      <c r="J35" s="130">
        <v>599</v>
      </c>
      <c r="K35" s="127">
        <v>1974</v>
      </c>
      <c r="L35" s="126" t="s">
        <v>309</v>
      </c>
      <c r="M35" s="32" t="str">
        <f t="shared" si="0"/>
        <v>U00029</v>
      </c>
      <c r="N35" s="33" t="s">
        <v>29</v>
      </c>
      <c r="O35" s="32" t="str">
        <f t="shared" si="1"/>
        <v>002/2026</v>
      </c>
      <c r="P35" s="32" t="s">
        <v>31</v>
      </c>
    </row>
    <row r="36" spans="1:16" x14ac:dyDescent="0.25">
      <c r="A36" s="126" t="s">
        <v>387</v>
      </c>
      <c r="B36" s="126" t="s">
        <v>242</v>
      </c>
      <c r="C36" s="131" t="s">
        <v>369</v>
      </c>
      <c r="D36" s="126" t="s">
        <v>388</v>
      </c>
      <c r="E36" s="126" t="s">
        <v>389</v>
      </c>
      <c r="F36" s="126"/>
      <c r="G36" s="126"/>
      <c r="H36" s="126"/>
      <c r="I36" s="129">
        <v>1</v>
      </c>
      <c r="J36" s="130">
        <v>599</v>
      </c>
      <c r="K36" s="127">
        <v>1974</v>
      </c>
      <c r="L36" s="126" t="s">
        <v>309</v>
      </c>
      <c r="M36" s="32" t="str">
        <f t="shared" si="0"/>
        <v>U00030</v>
      </c>
      <c r="N36" s="33" t="s">
        <v>29</v>
      </c>
      <c r="O36" s="32" t="str">
        <f t="shared" si="1"/>
        <v>002/2026</v>
      </c>
      <c r="P36" s="32" t="s">
        <v>31</v>
      </c>
    </row>
    <row r="37" spans="1:16" x14ac:dyDescent="0.25">
      <c r="A37" s="126" t="s">
        <v>390</v>
      </c>
      <c r="B37" s="126" t="s">
        <v>242</v>
      </c>
      <c r="C37" s="131" t="s">
        <v>369</v>
      </c>
      <c r="D37" s="126" t="s">
        <v>391</v>
      </c>
      <c r="E37" s="126" t="s">
        <v>392</v>
      </c>
      <c r="F37" s="126"/>
      <c r="G37" s="126"/>
      <c r="H37" s="126"/>
      <c r="I37" s="129">
        <v>1</v>
      </c>
      <c r="J37" s="130">
        <v>599</v>
      </c>
      <c r="K37" s="127">
        <v>1974</v>
      </c>
      <c r="L37" s="126" t="s">
        <v>309</v>
      </c>
      <c r="M37" s="32" t="str">
        <f t="shared" si="0"/>
        <v>U00031</v>
      </c>
      <c r="N37" s="33" t="s">
        <v>29</v>
      </c>
      <c r="O37" s="32" t="str">
        <f t="shared" si="1"/>
        <v>002/2026</v>
      </c>
      <c r="P37" s="32" t="s">
        <v>31</v>
      </c>
    </row>
    <row r="38" spans="1:16" x14ac:dyDescent="0.25">
      <c r="A38" s="126" t="s">
        <v>393</v>
      </c>
      <c r="B38" s="126" t="s">
        <v>242</v>
      </c>
      <c r="C38" s="131" t="s">
        <v>369</v>
      </c>
      <c r="D38" s="126" t="s">
        <v>394</v>
      </c>
      <c r="E38" s="126" t="s">
        <v>395</v>
      </c>
      <c r="F38" s="126"/>
      <c r="G38" s="126"/>
      <c r="H38" s="126"/>
      <c r="I38" s="129">
        <v>1</v>
      </c>
      <c r="J38" s="130">
        <v>599</v>
      </c>
      <c r="K38" s="127">
        <v>1974</v>
      </c>
      <c r="L38" s="126" t="s">
        <v>309</v>
      </c>
      <c r="M38" s="32" t="str">
        <f t="shared" si="0"/>
        <v>U00032</v>
      </c>
      <c r="N38" s="33" t="s">
        <v>29</v>
      </c>
      <c r="O38" s="32" t="str">
        <f t="shared" si="1"/>
        <v>002/2026</v>
      </c>
      <c r="P38" s="32" t="s">
        <v>31</v>
      </c>
    </row>
    <row r="39" spans="1:16" x14ac:dyDescent="0.25">
      <c r="A39" s="126" t="s">
        <v>396</v>
      </c>
      <c r="B39" s="126" t="s">
        <v>242</v>
      </c>
      <c r="C39" s="131" t="s">
        <v>369</v>
      </c>
      <c r="D39" s="126" t="s">
        <v>397</v>
      </c>
      <c r="E39" s="126" t="s">
        <v>398</v>
      </c>
      <c r="F39" s="126"/>
      <c r="G39" s="126"/>
      <c r="H39" s="126"/>
      <c r="I39" s="129">
        <v>1</v>
      </c>
      <c r="J39" s="130">
        <v>599</v>
      </c>
      <c r="K39" s="127">
        <v>1974</v>
      </c>
      <c r="L39" s="126" t="s">
        <v>309</v>
      </c>
      <c r="M39" s="32" t="str">
        <f t="shared" si="0"/>
        <v>U00033</v>
      </c>
      <c r="N39" s="33" t="s">
        <v>29</v>
      </c>
      <c r="O39" s="32" t="str">
        <f t="shared" si="1"/>
        <v>002/2026</v>
      </c>
      <c r="P39" s="32" t="s">
        <v>31</v>
      </c>
    </row>
    <row r="40" spans="1:16" x14ac:dyDescent="0.25">
      <c r="A40" s="126" t="s">
        <v>399</v>
      </c>
      <c r="B40" s="126" t="s">
        <v>242</v>
      </c>
      <c r="C40" s="131" t="s">
        <v>369</v>
      </c>
      <c r="D40" s="126" t="s">
        <v>400</v>
      </c>
      <c r="E40" s="126" t="s">
        <v>401</v>
      </c>
      <c r="F40" s="126"/>
      <c r="G40" s="126"/>
      <c r="H40" s="126"/>
      <c r="I40" s="129">
        <v>1</v>
      </c>
      <c r="J40" s="130">
        <v>599</v>
      </c>
      <c r="K40" s="127">
        <v>1974</v>
      </c>
      <c r="L40" s="126" t="s">
        <v>309</v>
      </c>
      <c r="M40" s="32" t="str">
        <f t="shared" si="0"/>
        <v>U00034</v>
      </c>
      <c r="N40" s="33" t="s">
        <v>29</v>
      </c>
      <c r="O40" s="32" t="str">
        <f t="shared" si="1"/>
        <v>002/2026</v>
      </c>
      <c r="P40" s="32" t="s">
        <v>31</v>
      </c>
    </row>
    <row r="41" spans="1:16" x14ac:dyDescent="0.25">
      <c r="A41" s="126" t="s">
        <v>402</v>
      </c>
      <c r="B41" s="126" t="s">
        <v>242</v>
      </c>
      <c r="C41" s="131" t="s">
        <v>369</v>
      </c>
      <c r="D41" s="126" t="s">
        <v>403</v>
      </c>
      <c r="E41" s="126" t="s">
        <v>404</v>
      </c>
      <c r="F41" s="126"/>
      <c r="G41" s="126"/>
      <c r="H41" s="126"/>
      <c r="I41" s="129">
        <v>1</v>
      </c>
      <c r="J41" s="130">
        <v>599</v>
      </c>
      <c r="K41" s="127">
        <v>1974</v>
      </c>
      <c r="L41" s="126" t="s">
        <v>309</v>
      </c>
      <c r="M41" s="32" t="str">
        <f t="shared" si="0"/>
        <v>U00035</v>
      </c>
      <c r="N41" s="33" t="s">
        <v>29</v>
      </c>
      <c r="O41" s="32" t="str">
        <f t="shared" si="1"/>
        <v>002/2026</v>
      </c>
      <c r="P41" s="32" t="s">
        <v>31</v>
      </c>
    </row>
    <row r="42" spans="1:16" x14ac:dyDescent="0.25">
      <c r="A42" s="126" t="s">
        <v>405</v>
      </c>
      <c r="B42" s="126" t="s">
        <v>242</v>
      </c>
      <c r="C42" s="131" t="s">
        <v>369</v>
      </c>
      <c r="D42" s="126" t="s">
        <v>406</v>
      </c>
      <c r="E42" s="126" t="s">
        <v>407</v>
      </c>
      <c r="F42" s="126"/>
      <c r="G42" s="126"/>
      <c r="H42" s="126"/>
      <c r="I42" s="129">
        <v>1</v>
      </c>
      <c r="J42" s="130">
        <v>599</v>
      </c>
      <c r="K42" s="127">
        <v>1974</v>
      </c>
      <c r="L42" s="126" t="s">
        <v>309</v>
      </c>
      <c r="M42" s="32" t="str">
        <f t="shared" si="0"/>
        <v>U00036</v>
      </c>
      <c r="N42" s="33" t="s">
        <v>29</v>
      </c>
      <c r="O42" s="32" t="str">
        <f t="shared" si="1"/>
        <v>002/2026</v>
      </c>
      <c r="P42" s="32" t="s">
        <v>31</v>
      </c>
    </row>
    <row r="43" spans="1:16" x14ac:dyDescent="0.25">
      <c r="A43" s="126" t="s">
        <v>408</v>
      </c>
      <c r="B43" s="126" t="s">
        <v>242</v>
      </c>
      <c r="C43" s="131" t="s">
        <v>369</v>
      </c>
      <c r="D43" s="126" t="s">
        <v>409</v>
      </c>
      <c r="E43" s="126" t="s">
        <v>410</v>
      </c>
      <c r="F43" s="126"/>
      <c r="G43" s="126"/>
      <c r="H43" s="126"/>
      <c r="I43" s="129">
        <v>1</v>
      </c>
      <c r="J43" s="130">
        <v>599</v>
      </c>
      <c r="K43" s="127">
        <v>1974</v>
      </c>
      <c r="L43" s="126" t="s">
        <v>309</v>
      </c>
      <c r="M43" s="32" t="str">
        <f t="shared" si="0"/>
        <v>U00037</v>
      </c>
      <c r="N43" s="33" t="s">
        <v>29</v>
      </c>
      <c r="O43" s="32" t="str">
        <f t="shared" si="1"/>
        <v>002/2026</v>
      </c>
      <c r="P43" s="32" t="s">
        <v>31</v>
      </c>
    </row>
    <row r="44" spans="1:16" x14ac:dyDescent="0.25">
      <c r="A44" s="126" t="s">
        <v>411</v>
      </c>
      <c r="B44" s="126" t="s">
        <v>242</v>
      </c>
      <c r="C44" s="131" t="s">
        <v>369</v>
      </c>
      <c r="D44" s="126" t="s">
        <v>412</v>
      </c>
      <c r="E44" s="126" t="s">
        <v>413</v>
      </c>
      <c r="F44" s="126"/>
      <c r="G44" s="126"/>
      <c r="H44" s="126"/>
      <c r="I44" s="129">
        <v>1</v>
      </c>
      <c r="J44" s="130">
        <v>599</v>
      </c>
      <c r="K44" s="127">
        <v>1974</v>
      </c>
      <c r="L44" s="126" t="s">
        <v>309</v>
      </c>
      <c r="M44" s="32" t="str">
        <f t="shared" si="0"/>
        <v>U00038</v>
      </c>
      <c r="N44" s="33" t="s">
        <v>29</v>
      </c>
      <c r="O44" s="32" t="str">
        <f t="shared" si="1"/>
        <v>002/2026</v>
      </c>
      <c r="P44" s="32" t="s">
        <v>31</v>
      </c>
    </row>
    <row r="45" spans="1:16" x14ac:dyDescent="0.25">
      <c r="A45" s="126" t="s">
        <v>414</v>
      </c>
      <c r="B45" s="126" t="s">
        <v>242</v>
      </c>
      <c r="C45" s="131" t="s">
        <v>369</v>
      </c>
      <c r="D45" s="126" t="s">
        <v>415</v>
      </c>
      <c r="E45" s="126" t="s">
        <v>416</v>
      </c>
      <c r="F45" s="126"/>
      <c r="G45" s="126"/>
      <c r="H45" s="126"/>
      <c r="I45" s="129">
        <v>1</v>
      </c>
      <c r="J45" s="130">
        <v>599</v>
      </c>
      <c r="K45" s="127">
        <v>1974</v>
      </c>
      <c r="L45" s="126" t="s">
        <v>309</v>
      </c>
      <c r="M45" s="32" t="str">
        <f t="shared" si="0"/>
        <v>U00039</v>
      </c>
      <c r="N45" s="33" t="s">
        <v>29</v>
      </c>
      <c r="O45" s="32" t="str">
        <f t="shared" si="1"/>
        <v>002/2026</v>
      </c>
      <c r="P45" s="32" t="s">
        <v>31</v>
      </c>
    </row>
    <row r="46" spans="1:16" x14ac:dyDescent="0.25">
      <c r="A46" s="126" t="s">
        <v>417</v>
      </c>
      <c r="B46" s="126" t="s">
        <v>242</v>
      </c>
      <c r="C46" s="131" t="s">
        <v>369</v>
      </c>
      <c r="D46" s="126" t="s">
        <v>418</v>
      </c>
      <c r="E46" s="126" t="s">
        <v>419</v>
      </c>
      <c r="F46" s="126"/>
      <c r="G46" s="126"/>
      <c r="H46" s="126"/>
      <c r="I46" s="129">
        <v>1</v>
      </c>
      <c r="J46" s="130">
        <v>599</v>
      </c>
      <c r="K46" s="127">
        <v>1974</v>
      </c>
      <c r="L46" s="126" t="s">
        <v>309</v>
      </c>
      <c r="M46" s="32" t="str">
        <f t="shared" si="0"/>
        <v>U00040</v>
      </c>
      <c r="N46" s="33" t="s">
        <v>29</v>
      </c>
      <c r="O46" s="32" t="str">
        <f t="shared" si="1"/>
        <v>002/2026</v>
      </c>
      <c r="P46" s="32" t="s">
        <v>31</v>
      </c>
    </row>
    <row r="47" spans="1:16" x14ac:dyDescent="0.25">
      <c r="A47" s="126" t="s">
        <v>420</v>
      </c>
      <c r="B47" s="126" t="s">
        <v>242</v>
      </c>
      <c r="C47" s="131" t="s">
        <v>369</v>
      </c>
      <c r="D47" s="126" t="s">
        <v>421</v>
      </c>
      <c r="E47" s="126" t="s">
        <v>422</v>
      </c>
      <c r="F47" s="126"/>
      <c r="G47" s="126"/>
      <c r="H47" s="126"/>
      <c r="I47" s="129">
        <v>1</v>
      </c>
      <c r="J47" s="130">
        <v>599</v>
      </c>
      <c r="K47" s="127">
        <v>1974</v>
      </c>
      <c r="L47" s="126" t="s">
        <v>309</v>
      </c>
      <c r="M47" s="32" t="str">
        <f t="shared" si="0"/>
        <v>U00041</v>
      </c>
      <c r="N47" s="33" t="s">
        <v>29</v>
      </c>
      <c r="O47" s="32" t="str">
        <f t="shared" si="1"/>
        <v>002/2026</v>
      </c>
      <c r="P47" s="32" t="s">
        <v>31</v>
      </c>
    </row>
    <row r="48" spans="1:16" x14ac:dyDescent="0.25">
      <c r="A48" s="126" t="s">
        <v>423</v>
      </c>
      <c r="B48" s="126" t="s">
        <v>242</v>
      </c>
      <c r="C48" s="131" t="s">
        <v>369</v>
      </c>
      <c r="D48" s="126" t="s">
        <v>424</v>
      </c>
      <c r="E48" s="126" t="s">
        <v>425</v>
      </c>
      <c r="F48" s="126"/>
      <c r="G48" s="126"/>
      <c r="H48" s="126"/>
      <c r="I48" s="129">
        <v>1</v>
      </c>
      <c r="J48" s="130">
        <v>599</v>
      </c>
      <c r="K48" s="127">
        <v>1974</v>
      </c>
      <c r="L48" s="126" t="s">
        <v>309</v>
      </c>
      <c r="M48" s="32" t="str">
        <f t="shared" si="0"/>
        <v>U00042</v>
      </c>
      <c r="N48" s="33" t="s">
        <v>29</v>
      </c>
      <c r="O48" s="32" t="str">
        <f t="shared" si="1"/>
        <v>002/2026</v>
      </c>
      <c r="P48" s="32" t="s">
        <v>31</v>
      </c>
    </row>
    <row r="49" spans="1:16" x14ac:dyDescent="0.25">
      <c r="A49" s="126" t="s">
        <v>426</v>
      </c>
      <c r="B49" s="126" t="s">
        <v>242</v>
      </c>
      <c r="C49" s="131" t="s">
        <v>369</v>
      </c>
      <c r="D49" s="126" t="s">
        <v>427</v>
      </c>
      <c r="E49" s="126" t="s">
        <v>428</v>
      </c>
      <c r="F49" s="126"/>
      <c r="G49" s="126"/>
      <c r="H49" s="126"/>
      <c r="I49" s="129">
        <v>1</v>
      </c>
      <c r="J49" s="130">
        <v>599</v>
      </c>
      <c r="K49" s="127">
        <v>1974</v>
      </c>
      <c r="L49" s="126" t="s">
        <v>309</v>
      </c>
      <c r="M49" s="32" t="str">
        <f t="shared" si="0"/>
        <v>U00043</v>
      </c>
      <c r="N49" s="33" t="s">
        <v>29</v>
      </c>
      <c r="O49" s="32" t="str">
        <f t="shared" si="1"/>
        <v>002/2026</v>
      </c>
      <c r="P49" s="32" t="s">
        <v>31</v>
      </c>
    </row>
    <row r="50" spans="1:16" x14ac:dyDescent="0.25">
      <c r="A50" s="126" t="s">
        <v>429</v>
      </c>
      <c r="B50" s="126" t="s">
        <v>242</v>
      </c>
      <c r="C50" s="131" t="s">
        <v>369</v>
      </c>
      <c r="D50" s="126" t="s">
        <v>430</v>
      </c>
      <c r="E50" s="126" t="s">
        <v>431</v>
      </c>
      <c r="F50" s="126"/>
      <c r="G50" s="126"/>
      <c r="H50" s="126"/>
      <c r="I50" s="129">
        <v>1</v>
      </c>
      <c r="J50" s="130">
        <v>599</v>
      </c>
      <c r="K50" s="127">
        <v>1974</v>
      </c>
      <c r="L50" s="126" t="s">
        <v>309</v>
      </c>
      <c r="M50" s="32" t="str">
        <f t="shared" si="0"/>
        <v>U00044</v>
      </c>
      <c r="N50" s="33" t="s">
        <v>29</v>
      </c>
      <c r="O50" s="32" t="str">
        <f t="shared" si="1"/>
        <v>002/2026</v>
      </c>
      <c r="P50" s="32" t="s">
        <v>31</v>
      </c>
    </row>
    <row r="51" spans="1:16" x14ac:dyDescent="0.25">
      <c r="A51" s="126" t="s">
        <v>432</v>
      </c>
      <c r="B51" s="126" t="s">
        <v>242</v>
      </c>
      <c r="C51" s="131" t="s">
        <v>369</v>
      </c>
      <c r="D51" s="126" t="s">
        <v>433</v>
      </c>
      <c r="E51" s="126" t="s">
        <v>434</v>
      </c>
      <c r="F51" s="126"/>
      <c r="G51" s="126"/>
      <c r="H51" s="126"/>
      <c r="I51" s="129">
        <v>1</v>
      </c>
      <c r="J51" s="130">
        <v>599</v>
      </c>
      <c r="K51" s="127">
        <v>1974</v>
      </c>
      <c r="L51" s="126" t="s">
        <v>309</v>
      </c>
      <c r="M51" s="32" t="str">
        <f t="shared" si="0"/>
        <v>U00045</v>
      </c>
      <c r="N51" s="33" t="s">
        <v>29</v>
      </c>
      <c r="O51" s="32" t="str">
        <f t="shared" si="1"/>
        <v>002/2026</v>
      </c>
      <c r="P51" s="32" t="s">
        <v>31</v>
      </c>
    </row>
    <row r="52" spans="1:16" x14ac:dyDescent="0.25">
      <c r="A52" s="126" t="s">
        <v>435</v>
      </c>
      <c r="B52" s="126" t="s">
        <v>242</v>
      </c>
      <c r="C52" s="131" t="s">
        <v>369</v>
      </c>
      <c r="D52" s="126" t="s">
        <v>436</v>
      </c>
      <c r="E52" s="126" t="s">
        <v>437</v>
      </c>
      <c r="F52" s="126"/>
      <c r="G52" s="126"/>
      <c r="H52" s="126"/>
      <c r="I52" s="129">
        <v>1</v>
      </c>
      <c r="J52" s="130">
        <v>599</v>
      </c>
      <c r="K52" s="127">
        <v>1974</v>
      </c>
      <c r="L52" s="126" t="s">
        <v>309</v>
      </c>
      <c r="M52" s="32" t="str">
        <f t="shared" si="0"/>
        <v>U00046</v>
      </c>
      <c r="N52" s="33" t="s">
        <v>29</v>
      </c>
      <c r="O52" s="32" t="str">
        <f t="shared" si="1"/>
        <v>002/2026</v>
      </c>
      <c r="P52" s="32" t="s">
        <v>31</v>
      </c>
    </row>
    <row r="53" spans="1:16" x14ac:dyDescent="0.25">
      <c r="A53" s="126" t="s">
        <v>438</v>
      </c>
      <c r="B53" s="126" t="s">
        <v>242</v>
      </c>
      <c r="C53" s="131" t="s">
        <v>369</v>
      </c>
      <c r="D53" s="126" t="s">
        <v>439</v>
      </c>
      <c r="E53" s="126" t="s">
        <v>440</v>
      </c>
      <c r="F53" s="126"/>
      <c r="G53" s="126"/>
      <c r="H53" s="126"/>
      <c r="I53" s="129">
        <v>1</v>
      </c>
      <c r="J53" s="130">
        <v>599</v>
      </c>
      <c r="K53" s="127">
        <v>1974</v>
      </c>
      <c r="L53" s="126" t="s">
        <v>309</v>
      </c>
      <c r="M53" s="32" t="str">
        <f t="shared" si="0"/>
        <v>U00047</v>
      </c>
      <c r="N53" s="33" t="s">
        <v>29</v>
      </c>
      <c r="O53" s="32" t="str">
        <f t="shared" si="1"/>
        <v>002/2026</v>
      </c>
      <c r="P53" s="32" t="s">
        <v>31</v>
      </c>
    </row>
    <row r="54" spans="1:16" x14ac:dyDescent="0.25">
      <c r="A54" s="126" t="s">
        <v>441</v>
      </c>
      <c r="B54" s="126" t="s">
        <v>242</v>
      </c>
      <c r="C54" s="131" t="s">
        <v>369</v>
      </c>
      <c r="D54" s="126" t="s">
        <v>442</v>
      </c>
      <c r="E54" s="126" t="s">
        <v>443</v>
      </c>
      <c r="F54" s="126"/>
      <c r="G54" s="126"/>
      <c r="H54" s="126"/>
      <c r="I54" s="129">
        <v>1</v>
      </c>
      <c r="J54" s="130">
        <v>599</v>
      </c>
      <c r="K54" s="127">
        <v>1974</v>
      </c>
      <c r="L54" s="126" t="s">
        <v>309</v>
      </c>
      <c r="M54" s="32" t="str">
        <f t="shared" si="0"/>
        <v>U00048</v>
      </c>
      <c r="N54" s="33" t="s">
        <v>29</v>
      </c>
      <c r="O54" s="32" t="str">
        <f t="shared" si="1"/>
        <v>002/2026</v>
      </c>
      <c r="P54" s="32" t="s">
        <v>31</v>
      </c>
    </row>
    <row r="55" spans="1:16" x14ac:dyDescent="0.25">
      <c r="A55" s="126" t="s">
        <v>444</v>
      </c>
      <c r="B55" s="126" t="s">
        <v>242</v>
      </c>
      <c r="C55" s="131" t="s">
        <v>369</v>
      </c>
      <c r="D55" s="126" t="s">
        <v>445</v>
      </c>
      <c r="E55" s="126" t="s">
        <v>446</v>
      </c>
      <c r="F55" s="126"/>
      <c r="G55" s="126"/>
      <c r="H55" s="126"/>
      <c r="I55" s="129">
        <v>1</v>
      </c>
      <c r="J55" s="130">
        <v>599</v>
      </c>
      <c r="K55" s="127">
        <v>1974</v>
      </c>
      <c r="L55" s="126" t="s">
        <v>309</v>
      </c>
      <c r="M55" s="32" t="str">
        <f t="shared" si="0"/>
        <v>U00049</v>
      </c>
      <c r="N55" s="33" t="s">
        <v>29</v>
      </c>
      <c r="O55" s="32" t="str">
        <f t="shared" si="1"/>
        <v>002/2026</v>
      </c>
      <c r="P55" s="32" t="s">
        <v>31</v>
      </c>
    </row>
    <row r="56" spans="1:16" x14ac:dyDescent="0.25">
      <c r="A56" s="126" t="s">
        <v>447</v>
      </c>
      <c r="B56" s="126" t="s">
        <v>242</v>
      </c>
      <c r="C56" s="131" t="s">
        <v>369</v>
      </c>
      <c r="D56" s="126" t="s">
        <v>448</v>
      </c>
      <c r="E56" s="126" t="s">
        <v>449</v>
      </c>
      <c r="F56" s="126"/>
      <c r="G56" s="126"/>
      <c r="H56" s="126"/>
      <c r="I56" s="129">
        <v>1</v>
      </c>
      <c r="J56" s="130">
        <v>599</v>
      </c>
      <c r="K56" s="127">
        <v>1974</v>
      </c>
      <c r="L56" s="126" t="s">
        <v>309</v>
      </c>
      <c r="M56" s="32" t="str">
        <f t="shared" si="0"/>
        <v>U00050</v>
      </c>
      <c r="N56" s="33" t="s">
        <v>29</v>
      </c>
      <c r="O56" s="32" t="str">
        <f t="shared" si="1"/>
        <v>002/2026</v>
      </c>
      <c r="P56" s="32" t="s">
        <v>31</v>
      </c>
    </row>
    <row r="57" spans="1:16" x14ac:dyDescent="0.25">
      <c r="A57" s="126" t="s">
        <v>450</v>
      </c>
      <c r="B57" s="126" t="s">
        <v>242</v>
      </c>
      <c r="C57" s="131" t="s">
        <v>369</v>
      </c>
      <c r="D57" s="126" t="s">
        <v>451</v>
      </c>
      <c r="E57" s="126" t="s">
        <v>452</v>
      </c>
      <c r="F57" s="126"/>
      <c r="G57" s="126"/>
      <c r="H57" s="126"/>
      <c r="I57" s="129">
        <v>1</v>
      </c>
      <c r="J57" s="130">
        <v>599</v>
      </c>
      <c r="K57" s="127">
        <v>1974</v>
      </c>
      <c r="L57" s="126" t="s">
        <v>309</v>
      </c>
      <c r="M57" s="32" t="str">
        <f t="shared" si="0"/>
        <v>U00051</v>
      </c>
      <c r="N57" s="33" t="s">
        <v>29</v>
      </c>
      <c r="O57" s="32" t="str">
        <f t="shared" si="1"/>
        <v>002/2026</v>
      </c>
      <c r="P57" s="32" t="s">
        <v>31</v>
      </c>
    </row>
    <row r="58" spans="1:16" x14ac:dyDescent="0.25">
      <c r="A58" s="126" t="s">
        <v>453</v>
      </c>
      <c r="B58" s="126" t="s">
        <v>242</v>
      </c>
      <c r="C58" s="131" t="s">
        <v>369</v>
      </c>
      <c r="D58" s="126" t="s">
        <v>454</v>
      </c>
      <c r="E58" s="126" t="s">
        <v>455</v>
      </c>
      <c r="F58" s="126"/>
      <c r="G58" s="126"/>
      <c r="H58" s="126"/>
      <c r="I58" s="129">
        <v>1</v>
      </c>
      <c r="J58" s="130">
        <v>599</v>
      </c>
      <c r="K58" s="127">
        <v>1974</v>
      </c>
      <c r="L58" s="126" t="s">
        <v>309</v>
      </c>
      <c r="M58" s="32" t="str">
        <f t="shared" si="0"/>
        <v>U00052</v>
      </c>
      <c r="N58" s="33" t="s">
        <v>29</v>
      </c>
      <c r="O58" s="32" t="str">
        <f t="shared" si="1"/>
        <v>002/2026</v>
      </c>
      <c r="P58" s="32" t="s">
        <v>31</v>
      </c>
    </row>
    <row r="59" spans="1:16" x14ac:dyDescent="0.25">
      <c r="A59" s="126" t="s">
        <v>456</v>
      </c>
      <c r="B59" s="126" t="s">
        <v>242</v>
      </c>
      <c r="C59" s="131" t="s">
        <v>369</v>
      </c>
      <c r="D59" s="126" t="s">
        <v>457</v>
      </c>
      <c r="E59" s="126" t="s">
        <v>458</v>
      </c>
      <c r="F59" s="126"/>
      <c r="G59" s="126"/>
      <c r="H59" s="126"/>
      <c r="I59" s="129">
        <v>1</v>
      </c>
      <c r="J59" s="130">
        <v>599</v>
      </c>
      <c r="K59" s="127">
        <v>1974</v>
      </c>
      <c r="L59" s="126" t="s">
        <v>309</v>
      </c>
      <c r="M59" s="32" t="str">
        <f t="shared" si="0"/>
        <v>U00053</v>
      </c>
      <c r="N59" s="33" t="s">
        <v>29</v>
      </c>
      <c r="O59" s="32" t="str">
        <f t="shared" si="1"/>
        <v>002/2026</v>
      </c>
      <c r="P59" s="32" t="s">
        <v>31</v>
      </c>
    </row>
    <row r="60" spans="1:16" x14ac:dyDescent="0.25">
      <c r="A60" s="126" t="s">
        <v>459</v>
      </c>
      <c r="B60" s="126" t="s">
        <v>242</v>
      </c>
      <c r="C60" s="131" t="s">
        <v>369</v>
      </c>
      <c r="D60" s="126" t="s">
        <v>460</v>
      </c>
      <c r="E60" s="126" t="s">
        <v>461</v>
      </c>
      <c r="F60" s="126"/>
      <c r="G60" s="126"/>
      <c r="H60" s="126"/>
      <c r="I60" s="129">
        <v>1</v>
      </c>
      <c r="J60" s="130">
        <v>599</v>
      </c>
      <c r="K60" s="127">
        <v>1974</v>
      </c>
      <c r="L60" s="126" t="s">
        <v>309</v>
      </c>
      <c r="M60" s="32" t="str">
        <f t="shared" si="0"/>
        <v>U00054</v>
      </c>
      <c r="N60" s="33" t="s">
        <v>29</v>
      </c>
      <c r="O60" s="32" t="str">
        <f t="shared" si="1"/>
        <v>002/2026</v>
      </c>
      <c r="P60" s="32" t="s">
        <v>31</v>
      </c>
    </row>
    <row r="61" spans="1:16" x14ac:dyDescent="0.25">
      <c r="A61" s="126" t="s">
        <v>462</v>
      </c>
      <c r="B61" s="126" t="s">
        <v>242</v>
      </c>
      <c r="C61" s="131" t="s">
        <v>369</v>
      </c>
      <c r="D61" s="126" t="s">
        <v>463</v>
      </c>
      <c r="E61" s="126" t="s">
        <v>464</v>
      </c>
      <c r="F61" s="126"/>
      <c r="G61" s="126"/>
      <c r="H61" s="126"/>
      <c r="I61" s="129">
        <v>1</v>
      </c>
      <c r="J61" s="130">
        <v>599</v>
      </c>
      <c r="K61" s="127">
        <v>1974</v>
      </c>
      <c r="L61" s="126" t="s">
        <v>309</v>
      </c>
      <c r="M61" s="32" t="str">
        <f t="shared" si="0"/>
        <v>U00055</v>
      </c>
      <c r="N61" s="33" t="s">
        <v>29</v>
      </c>
      <c r="O61" s="32" t="str">
        <f t="shared" si="1"/>
        <v>002/2026</v>
      </c>
      <c r="P61" s="32" t="s">
        <v>31</v>
      </c>
    </row>
    <row r="62" spans="1:16" x14ac:dyDescent="0.25">
      <c r="A62" s="126" t="s">
        <v>465</v>
      </c>
      <c r="B62" s="126" t="s">
        <v>242</v>
      </c>
      <c r="C62" s="131" t="s">
        <v>369</v>
      </c>
      <c r="D62" s="126" t="s">
        <v>466</v>
      </c>
      <c r="E62" s="126" t="s">
        <v>467</v>
      </c>
      <c r="F62" s="126"/>
      <c r="G62" s="126"/>
      <c r="H62" s="126"/>
      <c r="I62" s="129">
        <v>1</v>
      </c>
      <c r="J62" s="130">
        <v>599</v>
      </c>
      <c r="K62" s="127">
        <v>1974</v>
      </c>
      <c r="L62" s="126" t="s">
        <v>309</v>
      </c>
      <c r="M62" s="32" t="str">
        <f t="shared" si="0"/>
        <v>U00056</v>
      </c>
      <c r="N62" s="33" t="s">
        <v>29</v>
      </c>
      <c r="O62" s="32" t="str">
        <f t="shared" si="1"/>
        <v>002/2026</v>
      </c>
      <c r="P62" s="32" t="s">
        <v>31</v>
      </c>
    </row>
    <row r="63" spans="1:16" x14ac:dyDescent="0.25">
      <c r="A63" s="126" t="s">
        <v>468</v>
      </c>
      <c r="B63" s="126" t="s">
        <v>242</v>
      </c>
      <c r="C63" s="131" t="s">
        <v>369</v>
      </c>
      <c r="D63" s="126" t="s">
        <v>469</v>
      </c>
      <c r="E63" s="126" t="s">
        <v>470</v>
      </c>
      <c r="F63" s="126"/>
      <c r="G63" s="126"/>
      <c r="H63" s="126"/>
      <c r="I63" s="129">
        <v>1</v>
      </c>
      <c r="J63" s="130">
        <v>599</v>
      </c>
      <c r="K63" s="127">
        <v>1974</v>
      </c>
      <c r="L63" s="126" t="s">
        <v>309</v>
      </c>
      <c r="M63" s="32" t="str">
        <f t="shared" si="0"/>
        <v>U00057</v>
      </c>
      <c r="N63" s="33" t="s">
        <v>29</v>
      </c>
      <c r="O63" s="32" t="str">
        <f t="shared" si="1"/>
        <v>002/2026</v>
      </c>
      <c r="P63" s="32" t="s">
        <v>31</v>
      </c>
    </row>
    <row r="64" spans="1:16" x14ac:dyDescent="0.25">
      <c r="A64" s="126" t="s">
        <v>471</v>
      </c>
      <c r="B64" s="126" t="s">
        <v>242</v>
      </c>
      <c r="C64" s="131" t="s">
        <v>369</v>
      </c>
      <c r="D64" s="126" t="s">
        <v>472</v>
      </c>
      <c r="E64" s="126" t="s">
        <v>473</v>
      </c>
      <c r="F64" s="126"/>
      <c r="G64" s="126"/>
      <c r="H64" s="126"/>
      <c r="I64" s="129">
        <v>1</v>
      </c>
      <c r="J64" s="130">
        <v>599</v>
      </c>
      <c r="K64" s="127">
        <v>1974</v>
      </c>
      <c r="L64" s="126" t="s">
        <v>309</v>
      </c>
      <c r="M64" s="32" t="str">
        <f t="shared" si="0"/>
        <v>U00058</v>
      </c>
      <c r="N64" s="33" t="s">
        <v>29</v>
      </c>
      <c r="O64" s="32" t="str">
        <f t="shared" si="1"/>
        <v>002/2026</v>
      </c>
      <c r="P64" s="32" t="s">
        <v>31</v>
      </c>
    </row>
    <row r="65" spans="1:16" x14ac:dyDescent="0.25">
      <c r="A65" s="126" t="s">
        <v>474</v>
      </c>
      <c r="B65" s="126" t="s">
        <v>242</v>
      </c>
      <c r="C65" s="131" t="s">
        <v>369</v>
      </c>
      <c r="D65" s="126" t="s">
        <v>475</v>
      </c>
      <c r="E65" s="126" t="s">
        <v>476</v>
      </c>
      <c r="F65" s="126"/>
      <c r="G65" s="126"/>
      <c r="H65" s="126"/>
      <c r="I65" s="129">
        <v>1</v>
      </c>
      <c r="J65" s="130">
        <v>599</v>
      </c>
      <c r="K65" s="127">
        <v>1974</v>
      </c>
      <c r="L65" s="126" t="s">
        <v>309</v>
      </c>
      <c r="M65" s="32" t="str">
        <f t="shared" si="0"/>
        <v>U00059</v>
      </c>
      <c r="N65" s="33" t="s">
        <v>29</v>
      </c>
      <c r="O65" s="32" t="str">
        <f t="shared" si="1"/>
        <v>002/2026</v>
      </c>
      <c r="P65" s="32" t="s">
        <v>31</v>
      </c>
    </row>
    <row r="66" spans="1:16" x14ac:dyDescent="0.25">
      <c r="A66" s="126" t="s">
        <v>477</v>
      </c>
      <c r="B66" s="126" t="s">
        <v>242</v>
      </c>
      <c r="C66" s="131" t="s">
        <v>369</v>
      </c>
      <c r="D66" s="126" t="s">
        <v>478</v>
      </c>
      <c r="E66" s="126" t="s">
        <v>479</v>
      </c>
      <c r="F66" s="126"/>
      <c r="G66" s="126"/>
      <c r="H66" s="126"/>
      <c r="I66" s="129">
        <v>1</v>
      </c>
      <c r="J66" s="130">
        <v>599</v>
      </c>
      <c r="K66" s="127">
        <v>1974</v>
      </c>
      <c r="L66" s="126" t="s">
        <v>309</v>
      </c>
      <c r="M66" s="32" t="str">
        <f t="shared" si="0"/>
        <v>U00060</v>
      </c>
      <c r="N66" s="33" t="s">
        <v>29</v>
      </c>
      <c r="O66" s="32" t="str">
        <f t="shared" si="1"/>
        <v>002/2026</v>
      </c>
      <c r="P66" s="32" t="s">
        <v>31</v>
      </c>
    </row>
    <row r="67" spans="1:16" x14ac:dyDescent="0.25">
      <c r="A67" s="126" t="s">
        <v>480</v>
      </c>
      <c r="B67" s="126" t="s">
        <v>242</v>
      </c>
      <c r="C67" s="131" t="s">
        <v>369</v>
      </c>
      <c r="D67" s="126" t="s">
        <v>481</v>
      </c>
      <c r="E67" s="126" t="s">
        <v>482</v>
      </c>
      <c r="F67" s="126"/>
      <c r="G67" s="126"/>
      <c r="H67" s="126"/>
      <c r="I67" s="129">
        <v>1</v>
      </c>
      <c r="J67" s="130">
        <v>599</v>
      </c>
      <c r="K67" s="127">
        <v>1974</v>
      </c>
      <c r="L67" s="126" t="s">
        <v>309</v>
      </c>
      <c r="M67" s="32" t="str">
        <f t="shared" si="0"/>
        <v>U00061</v>
      </c>
      <c r="N67" s="33" t="s">
        <v>29</v>
      </c>
      <c r="O67" s="32" t="str">
        <f t="shared" si="1"/>
        <v>002/2026</v>
      </c>
      <c r="P67" s="32" t="s">
        <v>31</v>
      </c>
    </row>
    <row r="68" spans="1:16" x14ac:dyDescent="0.25">
      <c r="A68" s="126" t="s">
        <v>483</v>
      </c>
      <c r="B68" s="126" t="s">
        <v>242</v>
      </c>
      <c r="C68" s="131" t="s">
        <v>369</v>
      </c>
      <c r="D68" s="126" t="s">
        <v>484</v>
      </c>
      <c r="E68" s="126" t="s">
        <v>485</v>
      </c>
      <c r="F68" s="126"/>
      <c r="G68" s="126"/>
      <c r="H68" s="126"/>
      <c r="I68" s="129">
        <v>1</v>
      </c>
      <c r="J68" s="130">
        <v>599</v>
      </c>
      <c r="K68" s="127">
        <v>1974</v>
      </c>
      <c r="L68" s="126" t="s">
        <v>309</v>
      </c>
      <c r="M68" s="32" t="str">
        <f t="shared" si="0"/>
        <v>U00062</v>
      </c>
      <c r="N68" s="33" t="s">
        <v>29</v>
      </c>
      <c r="O68" s="32" t="str">
        <f t="shared" si="1"/>
        <v>002/2026</v>
      </c>
      <c r="P68" s="32" t="s">
        <v>31</v>
      </c>
    </row>
    <row r="69" spans="1:16" x14ac:dyDescent="0.25">
      <c r="A69" s="126" t="s">
        <v>486</v>
      </c>
      <c r="B69" s="126" t="s">
        <v>242</v>
      </c>
      <c r="C69" s="131" t="s">
        <v>369</v>
      </c>
      <c r="D69" s="126" t="s">
        <v>487</v>
      </c>
      <c r="E69" s="126" t="s">
        <v>488</v>
      </c>
      <c r="F69" s="126"/>
      <c r="G69" s="126"/>
      <c r="H69" s="126"/>
      <c r="I69" s="129">
        <v>1</v>
      </c>
      <c r="J69" s="130">
        <v>599</v>
      </c>
      <c r="K69" s="127">
        <v>1974</v>
      </c>
      <c r="L69" s="126" t="s">
        <v>309</v>
      </c>
      <c r="M69" s="32" t="str">
        <f t="shared" si="0"/>
        <v>U00063</v>
      </c>
      <c r="N69" s="33" t="s">
        <v>29</v>
      </c>
      <c r="O69" s="32" t="str">
        <f t="shared" si="1"/>
        <v>002/2026</v>
      </c>
      <c r="P69" s="32" t="s">
        <v>31</v>
      </c>
    </row>
    <row r="70" spans="1:16" x14ac:dyDescent="0.25">
      <c r="A70" s="126" t="s">
        <v>489</v>
      </c>
      <c r="B70" s="126" t="s">
        <v>242</v>
      </c>
      <c r="C70" s="131" t="s">
        <v>369</v>
      </c>
      <c r="D70" s="126" t="s">
        <v>490</v>
      </c>
      <c r="E70" s="126" t="s">
        <v>491</v>
      </c>
      <c r="F70" s="126"/>
      <c r="G70" s="126"/>
      <c r="H70" s="126"/>
      <c r="I70" s="129">
        <v>1</v>
      </c>
      <c r="J70" s="130">
        <v>599</v>
      </c>
      <c r="K70" s="127">
        <v>1974</v>
      </c>
      <c r="L70" s="126" t="s">
        <v>309</v>
      </c>
      <c r="M70" s="32" t="str">
        <f t="shared" si="0"/>
        <v>U00064</v>
      </c>
      <c r="N70" s="33" t="s">
        <v>29</v>
      </c>
      <c r="O70" s="32" t="str">
        <f t="shared" si="1"/>
        <v>002/2026</v>
      </c>
      <c r="P70" s="32" t="s">
        <v>31</v>
      </c>
    </row>
    <row r="71" spans="1:16" x14ac:dyDescent="0.25">
      <c r="A71" s="126" t="s">
        <v>492</v>
      </c>
      <c r="B71" s="126" t="s">
        <v>242</v>
      </c>
      <c r="C71" s="131" t="s">
        <v>369</v>
      </c>
      <c r="D71" s="126" t="s">
        <v>493</v>
      </c>
      <c r="E71" s="126" t="s">
        <v>494</v>
      </c>
      <c r="F71" s="126"/>
      <c r="G71" s="126"/>
      <c r="H71" s="126"/>
      <c r="I71" s="129">
        <v>1</v>
      </c>
      <c r="J71" s="130">
        <v>599</v>
      </c>
      <c r="K71" s="127">
        <v>1974</v>
      </c>
      <c r="L71" s="126" t="s">
        <v>309</v>
      </c>
      <c r="M71" s="32" t="str">
        <f t="shared" si="0"/>
        <v>U00065</v>
      </c>
      <c r="N71" s="33" t="s">
        <v>29</v>
      </c>
      <c r="O71" s="32" t="str">
        <f t="shared" si="1"/>
        <v>002/2026</v>
      </c>
      <c r="P71" s="32" t="s">
        <v>31</v>
      </c>
    </row>
    <row r="72" spans="1:16" x14ac:dyDescent="0.25">
      <c r="A72" s="126" t="s">
        <v>495</v>
      </c>
      <c r="B72" s="126" t="s">
        <v>242</v>
      </c>
      <c r="C72" s="131" t="s">
        <v>369</v>
      </c>
      <c r="D72" s="126" t="s">
        <v>496</v>
      </c>
      <c r="E72" s="126" t="s">
        <v>497</v>
      </c>
      <c r="F72" s="126"/>
      <c r="G72" s="126"/>
      <c r="H72" s="126"/>
      <c r="I72" s="129">
        <v>1</v>
      </c>
      <c r="J72" s="130">
        <v>599</v>
      </c>
      <c r="K72" s="127">
        <v>1974</v>
      </c>
      <c r="L72" s="126" t="s">
        <v>309</v>
      </c>
      <c r="M72" s="32" t="str">
        <f t="shared" ref="M72:M109" si="2">+A72</f>
        <v>U00066</v>
      </c>
      <c r="N72" s="33" t="s">
        <v>29</v>
      </c>
      <c r="O72" s="32" t="str">
        <f t="shared" ref="O72:O109" si="3">+B72</f>
        <v>002/2026</v>
      </c>
      <c r="P72" s="32" t="s">
        <v>31</v>
      </c>
    </row>
    <row r="73" spans="1:16" x14ac:dyDescent="0.25">
      <c r="A73" s="126" t="s">
        <v>498</v>
      </c>
      <c r="B73" s="126" t="s">
        <v>242</v>
      </c>
      <c r="C73" s="131" t="s">
        <v>369</v>
      </c>
      <c r="D73" s="126" t="s">
        <v>499</v>
      </c>
      <c r="E73" s="126" t="s">
        <v>500</v>
      </c>
      <c r="F73" s="126"/>
      <c r="G73" s="126"/>
      <c r="H73" s="126"/>
      <c r="I73" s="129">
        <v>1</v>
      </c>
      <c r="J73" s="130">
        <v>599</v>
      </c>
      <c r="K73" s="127">
        <v>1974</v>
      </c>
      <c r="L73" s="126" t="s">
        <v>309</v>
      </c>
      <c r="M73" s="32" t="str">
        <f t="shared" si="2"/>
        <v>U00067</v>
      </c>
      <c r="N73" s="33" t="s">
        <v>29</v>
      </c>
      <c r="O73" s="32" t="str">
        <f t="shared" si="3"/>
        <v>002/2026</v>
      </c>
      <c r="P73" s="32" t="s">
        <v>31</v>
      </c>
    </row>
    <row r="74" spans="1:16" x14ac:dyDescent="0.25">
      <c r="A74" s="126" t="s">
        <v>501</v>
      </c>
      <c r="B74" s="126" t="s">
        <v>242</v>
      </c>
      <c r="C74" s="131" t="s">
        <v>369</v>
      </c>
      <c r="D74" s="126" t="s">
        <v>502</v>
      </c>
      <c r="E74" s="126" t="s">
        <v>503</v>
      </c>
      <c r="F74" s="126"/>
      <c r="G74" s="126"/>
      <c r="H74" s="126"/>
      <c r="I74" s="129">
        <v>1</v>
      </c>
      <c r="J74" s="130">
        <v>599</v>
      </c>
      <c r="K74" s="127">
        <v>1974</v>
      </c>
      <c r="L74" s="126" t="s">
        <v>309</v>
      </c>
      <c r="M74" s="32" t="str">
        <f t="shared" si="2"/>
        <v>U00068</v>
      </c>
      <c r="N74" s="33" t="s">
        <v>29</v>
      </c>
      <c r="O74" s="32" t="str">
        <f t="shared" si="3"/>
        <v>002/2026</v>
      </c>
      <c r="P74" s="32" t="s">
        <v>31</v>
      </c>
    </row>
    <row r="75" spans="1:16" x14ac:dyDescent="0.25">
      <c r="A75" s="126" t="s">
        <v>504</v>
      </c>
      <c r="B75" s="126" t="s">
        <v>242</v>
      </c>
      <c r="C75" s="131" t="s">
        <v>369</v>
      </c>
      <c r="D75" s="126" t="s">
        <v>505</v>
      </c>
      <c r="E75" s="126" t="s">
        <v>506</v>
      </c>
      <c r="F75" s="126"/>
      <c r="G75" s="126"/>
      <c r="H75" s="126"/>
      <c r="I75" s="129">
        <v>1</v>
      </c>
      <c r="J75" s="130">
        <v>599</v>
      </c>
      <c r="K75" s="127">
        <v>1974</v>
      </c>
      <c r="L75" s="126" t="s">
        <v>309</v>
      </c>
      <c r="M75" s="32" t="str">
        <f t="shared" si="2"/>
        <v>U00069</v>
      </c>
      <c r="N75" s="33" t="s">
        <v>29</v>
      </c>
      <c r="O75" s="32" t="str">
        <f t="shared" si="3"/>
        <v>002/2026</v>
      </c>
      <c r="P75" s="32" t="s">
        <v>31</v>
      </c>
    </row>
    <row r="76" spans="1:16" x14ac:dyDescent="0.25">
      <c r="A76" s="126" t="s">
        <v>507</v>
      </c>
      <c r="B76" s="126" t="s">
        <v>242</v>
      </c>
      <c r="C76" s="131" t="s">
        <v>369</v>
      </c>
      <c r="D76" s="126" t="s">
        <v>508</v>
      </c>
      <c r="E76" s="126" t="s">
        <v>509</v>
      </c>
      <c r="F76" s="126"/>
      <c r="G76" s="126"/>
      <c r="H76" s="126"/>
      <c r="I76" s="129">
        <v>1</v>
      </c>
      <c r="J76" s="130">
        <v>599</v>
      </c>
      <c r="K76" s="127">
        <v>1974</v>
      </c>
      <c r="L76" s="126" t="s">
        <v>309</v>
      </c>
      <c r="M76" s="32" t="str">
        <f t="shared" si="2"/>
        <v>U00070</v>
      </c>
      <c r="N76" s="33" t="s">
        <v>29</v>
      </c>
      <c r="O76" s="32" t="str">
        <f t="shared" si="3"/>
        <v>002/2026</v>
      </c>
      <c r="P76" s="32" t="s">
        <v>31</v>
      </c>
    </row>
    <row r="77" spans="1:16" x14ac:dyDescent="0.25">
      <c r="A77" s="126" t="s">
        <v>510</v>
      </c>
      <c r="B77" s="126" t="s">
        <v>242</v>
      </c>
      <c r="C77" s="131" t="s">
        <v>369</v>
      </c>
      <c r="D77" s="126" t="s">
        <v>511</v>
      </c>
      <c r="E77" s="126" t="s">
        <v>512</v>
      </c>
      <c r="F77" s="126"/>
      <c r="G77" s="126"/>
      <c r="H77" s="126"/>
      <c r="I77" s="129">
        <v>1</v>
      </c>
      <c r="J77" s="130">
        <v>599</v>
      </c>
      <c r="K77" s="127">
        <v>1974</v>
      </c>
      <c r="L77" s="126" t="s">
        <v>309</v>
      </c>
      <c r="M77" s="32" t="str">
        <f t="shared" si="2"/>
        <v>U00071</v>
      </c>
      <c r="N77" s="33" t="s">
        <v>29</v>
      </c>
      <c r="O77" s="32" t="str">
        <f t="shared" si="3"/>
        <v>002/2026</v>
      </c>
      <c r="P77" s="32" t="s">
        <v>31</v>
      </c>
    </row>
    <row r="78" spans="1:16" x14ac:dyDescent="0.25">
      <c r="A78" s="126" t="s">
        <v>513</v>
      </c>
      <c r="B78" s="126" t="s">
        <v>242</v>
      </c>
      <c r="C78" s="131" t="s">
        <v>369</v>
      </c>
      <c r="D78" s="126" t="s">
        <v>514</v>
      </c>
      <c r="E78" s="126" t="s">
        <v>515</v>
      </c>
      <c r="F78" s="126"/>
      <c r="G78" s="126"/>
      <c r="H78" s="126"/>
      <c r="I78" s="129">
        <v>1</v>
      </c>
      <c r="J78" s="130">
        <v>599</v>
      </c>
      <c r="K78" s="127">
        <v>1974</v>
      </c>
      <c r="L78" s="126" t="s">
        <v>309</v>
      </c>
      <c r="M78" s="32" t="str">
        <f t="shared" si="2"/>
        <v>U00072</v>
      </c>
      <c r="N78" s="33" t="s">
        <v>29</v>
      </c>
      <c r="O78" s="32" t="str">
        <f t="shared" si="3"/>
        <v>002/2026</v>
      </c>
      <c r="P78" s="32" t="s">
        <v>31</v>
      </c>
    </row>
    <row r="79" spans="1:16" x14ac:dyDescent="0.25">
      <c r="A79" s="126" t="s">
        <v>516</v>
      </c>
      <c r="B79" s="126" t="s">
        <v>242</v>
      </c>
      <c r="C79" s="131" t="s">
        <v>369</v>
      </c>
      <c r="D79" s="126" t="s">
        <v>517</v>
      </c>
      <c r="E79" s="126" t="s">
        <v>518</v>
      </c>
      <c r="F79" s="126"/>
      <c r="G79" s="126"/>
      <c r="H79" s="126"/>
      <c r="I79" s="129">
        <v>1</v>
      </c>
      <c r="J79" s="130">
        <v>599</v>
      </c>
      <c r="K79" s="127">
        <v>1974</v>
      </c>
      <c r="L79" s="126" t="s">
        <v>309</v>
      </c>
      <c r="M79" s="32" t="str">
        <f t="shared" si="2"/>
        <v>U00073</v>
      </c>
      <c r="N79" s="33" t="s">
        <v>29</v>
      </c>
      <c r="O79" s="32" t="str">
        <f t="shared" si="3"/>
        <v>002/2026</v>
      </c>
      <c r="P79" s="32" t="s">
        <v>31</v>
      </c>
    </row>
    <row r="80" spans="1:16" x14ac:dyDescent="0.25">
      <c r="A80" s="126" t="s">
        <v>519</v>
      </c>
      <c r="B80" s="126" t="s">
        <v>242</v>
      </c>
      <c r="C80" s="131" t="s">
        <v>369</v>
      </c>
      <c r="D80" s="126" t="s">
        <v>520</v>
      </c>
      <c r="E80" s="126" t="s">
        <v>521</v>
      </c>
      <c r="F80" s="126"/>
      <c r="G80" s="126"/>
      <c r="H80" s="126"/>
      <c r="I80" s="129">
        <v>1</v>
      </c>
      <c r="J80" s="130">
        <v>599</v>
      </c>
      <c r="K80" s="127">
        <v>1974</v>
      </c>
      <c r="L80" s="126" t="s">
        <v>309</v>
      </c>
      <c r="M80" s="32" t="str">
        <f t="shared" si="2"/>
        <v>U00074</v>
      </c>
      <c r="N80" s="33" t="s">
        <v>29</v>
      </c>
      <c r="O80" s="32" t="str">
        <f t="shared" si="3"/>
        <v>002/2026</v>
      </c>
      <c r="P80" s="32" t="s">
        <v>31</v>
      </c>
    </row>
    <row r="81" spans="1:16" x14ac:dyDescent="0.25">
      <c r="A81" s="126" t="s">
        <v>522</v>
      </c>
      <c r="B81" s="126" t="s">
        <v>242</v>
      </c>
      <c r="C81" s="131" t="s">
        <v>369</v>
      </c>
      <c r="D81" s="126" t="s">
        <v>523</v>
      </c>
      <c r="E81" s="126" t="s">
        <v>524</v>
      </c>
      <c r="F81" s="126"/>
      <c r="G81" s="126"/>
      <c r="H81" s="126"/>
      <c r="I81" s="129">
        <v>1</v>
      </c>
      <c r="J81" s="130">
        <v>599</v>
      </c>
      <c r="K81" s="127">
        <v>1974</v>
      </c>
      <c r="L81" s="126" t="s">
        <v>309</v>
      </c>
      <c r="M81" s="32" t="str">
        <f t="shared" si="2"/>
        <v>U00075</v>
      </c>
      <c r="N81" s="33" t="s">
        <v>29</v>
      </c>
      <c r="O81" s="32" t="str">
        <f t="shared" si="3"/>
        <v>002/2026</v>
      </c>
      <c r="P81" s="32" t="s">
        <v>31</v>
      </c>
    </row>
    <row r="82" spans="1:16" x14ac:dyDescent="0.25">
      <c r="A82" s="126" t="s">
        <v>525</v>
      </c>
      <c r="B82" s="126" t="s">
        <v>242</v>
      </c>
      <c r="C82" s="131" t="s">
        <v>369</v>
      </c>
      <c r="D82" s="126" t="s">
        <v>526</v>
      </c>
      <c r="E82" s="126" t="s">
        <v>527</v>
      </c>
      <c r="F82" s="126"/>
      <c r="G82" s="126"/>
      <c r="H82" s="126"/>
      <c r="I82" s="129">
        <v>1</v>
      </c>
      <c r="J82" s="130">
        <v>599</v>
      </c>
      <c r="K82" s="127">
        <v>1974</v>
      </c>
      <c r="L82" s="126" t="s">
        <v>309</v>
      </c>
      <c r="M82" s="32" t="str">
        <f t="shared" si="2"/>
        <v>U00076</v>
      </c>
      <c r="N82" s="33" t="s">
        <v>29</v>
      </c>
      <c r="O82" s="32" t="str">
        <f t="shared" si="3"/>
        <v>002/2026</v>
      </c>
      <c r="P82" s="32" t="s">
        <v>31</v>
      </c>
    </row>
    <row r="83" spans="1:16" x14ac:dyDescent="0.25">
      <c r="A83" s="126" t="s">
        <v>528</v>
      </c>
      <c r="B83" s="126" t="s">
        <v>242</v>
      </c>
      <c r="C83" s="131" t="s">
        <v>369</v>
      </c>
      <c r="D83" s="126" t="s">
        <v>529</v>
      </c>
      <c r="E83" s="126" t="s">
        <v>530</v>
      </c>
      <c r="F83" s="126"/>
      <c r="G83" s="126"/>
      <c r="H83" s="126"/>
      <c r="I83" s="129">
        <v>1</v>
      </c>
      <c r="J83" s="130">
        <v>599</v>
      </c>
      <c r="K83" s="127">
        <v>1974</v>
      </c>
      <c r="L83" s="126" t="s">
        <v>309</v>
      </c>
      <c r="M83" s="32" t="str">
        <f t="shared" si="2"/>
        <v>U00077</v>
      </c>
      <c r="N83" s="33" t="s">
        <v>29</v>
      </c>
      <c r="O83" s="32" t="str">
        <f t="shared" si="3"/>
        <v>002/2026</v>
      </c>
      <c r="P83" s="32" t="s">
        <v>31</v>
      </c>
    </row>
    <row r="84" spans="1:16" x14ac:dyDescent="0.25">
      <c r="A84" s="126" t="s">
        <v>531</v>
      </c>
      <c r="B84" s="126" t="s">
        <v>242</v>
      </c>
      <c r="C84" s="131" t="s">
        <v>369</v>
      </c>
      <c r="D84" s="126" t="s">
        <v>532</v>
      </c>
      <c r="E84" s="126" t="s">
        <v>533</v>
      </c>
      <c r="F84" s="126"/>
      <c r="G84" s="126"/>
      <c r="H84" s="126"/>
      <c r="I84" s="129">
        <v>1</v>
      </c>
      <c r="J84" s="130">
        <v>599</v>
      </c>
      <c r="K84" s="127">
        <v>1974</v>
      </c>
      <c r="L84" s="126" t="s">
        <v>309</v>
      </c>
      <c r="M84" s="32" t="str">
        <f t="shared" si="2"/>
        <v>U00078</v>
      </c>
      <c r="N84" s="33" t="s">
        <v>29</v>
      </c>
      <c r="O84" s="32" t="str">
        <f t="shared" si="3"/>
        <v>002/2026</v>
      </c>
      <c r="P84" s="32" t="s">
        <v>31</v>
      </c>
    </row>
    <row r="85" spans="1:16" x14ac:dyDescent="0.25">
      <c r="A85" s="126" t="s">
        <v>534</v>
      </c>
      <c r="B85" s="126" t="s">
        <v>242</v>
      </c>
      <c r="C85" s="131" t="s">
        <v>369</v>
      </c>
      <c r="D85" s="126" t="s">
        <v>535</v>
      </c>
      <c r="E85" s="126" t="s">
        <v>536</v>
      </c>
      <c r="F85" s="126"/>
      <c r="G85" s="126"/>
      <c r="H85" s="126"/>
      <c r="I85" s="129">
        <v>1</v>
      </c>
      <c r="J85" s="130">
        <v>599</v>
      </c>
      <c r="K85" s="127">
        <v>1974</v>
      </c>
      <c r="L85" s="126" t="s">
        <v>309</v>
      </c>
      <c r="M85" s="32" t="str">
        <f t="shared" si="2"/>
        <v>U00079</v>
      </c>
      <c r="N85" s="33" t="s">
        <v>29</v>
      </c>
      <c r="O85" s="32" t="str">
        <f t="shared" si="3"/>
        <v>002/2026</v>
      </c>
      <c r="P85" s="32" t="s">
        <v>31</v>
      </c>
    </row>
    <row r="86" spans="1:16" x14ac:dyDescent="0.25">
      <c r="A86" s="126" t="s">
        <v>537</v>
      </c>
      <c r="B86" s="126" t="s">
        <v>242</v>
      </c>
      <c r="C86" s="131" t="s">
        <v>369</v>
      </c>
      <c r="D86" s="126" t="s">
        <v>538</v>
      </c>
      <c r="E86" s="126" t="s">
        <v>539</v>
      </c>
      <c r="F86" s="126"/>
      <c r="G86" s="126"/>
      <c r="H86" s="126"/>
      <c r="I86" s="129">
        <v>1</v>
      </c>
      <c r="J86" s="130">
        <v>599</v>
      </c>
      <c r="K86" s="127">
        <v>1974</v>
      </c>
      <c r="L86" s="126" t="s">
        <v>309</v>
      </c>
      <c r="M86" s="32" t="str">
        <f t="shared" si="2"/>
        <v>U00080</v>
      </c>
      <c r="N86" s="33" t="s">
        <v>29</v>
      </c>
      <c r="O86" s="32" t="str">
        <f t="shared" si="3"/>
        <v>002/2026</v>
      </c>
      <c r="P86" s="32" t="s">
        <v>31</v>
      </c>
    </row>
    <row r="87" spans="1:16" x14ac:dyDescent="0.25">
      <c r="A87" s="126" t="s">
        <v>540</v>
      </c>
      <c r="B87" s="126" t="s">
        <v>242</v>
      </c>
      <c r="C87" s="131" t="s">
        <v>369</v>
      </c>
      <c r="D87" s="126" t="s">
        <v>541</v>
      </c>
      <c r="E87" s="126" t="s">
        <v>542</v>
      </c>
      <c r="F87" s="126"/>
      <c r="G87" s="126"/>
      <c r="H87" s="126"/>
      <c r="I87" s="129">
        <v>1</v>
      </c>
      <c r="J87" s="130">
        <v>599</v>
      </c>
      <c r="K87" s="127">
        <v>1974</v>
      </c>
      <c r="L87" s="126" t="s">
        <v>309</v>
      </c>
      <c r="M87" s="32" t="str">
        <f t="shared" si="2"/>
        <v>U00081</v>
      </c>
      <c r="N87" s="33" t="s">
        <v>29</v>
      </c>
      <c r="O87" s="32" t="str">
        <f t="shared" si="3"/>
        <v>002/2026</v>
      </c>
      <c r="P87" s="32" t="s">
        <v>31</v>
      </c>
    </row>
    <row r="88" spans="1:16" x14ac:dyDescent="0.25">
      <c r="A88" s="126" t="s">
        <v>543</v>
      </c>
      <c r="B88" s="126" t="s">
        <v>242</v>
      </c>
      <c r="C88" s="131" t="s">
        <v>369</v>
      </c>
      <c r="D88" s="126" t="s">
        <v>544</v>
      </c>
      <c r="E88" s="126" t="s">
        <v>545</v>
      </c>
      <c r="F88" s="126"/>
      <c r="G88" s="126"/>
      <c r="H88" s="126"/>
      <c r="I88" s="129">
        <v>1</v>
      </c>
      <c r="J88" s="130">
        <v>599</v>
      </c>
      <c r="K88" s="127">
        <v>1974</v>
      </c>
      <c r="L88" s="126" t="s">
        <v>309</v>
      </c>
      <c r="M88" s="32" t="str">
        <f t="shared" si="2"/>
        <v>U00082</v>
      </c>
      <c r="N88" s="33" t="s">
        <v>29</v>
      </c>
      <c r="O88" s="32" t="str">
        <f t="shared" si="3"/>
        <v>002/2026</v>
      </c>
      <c r="P88" s="32" t="s">
        <v>31</v>
      </c>
    </row>
    <row r="89" spans="1:16" x14ac:dyDescent="0.25">
      <c r="A89" s="126" t="s">
        <v>546</v>
      </c>
      <c r="B89" s="126" t="s">
        <v>242</v>
      </c>
      <c r="C89" s="131" t="s">
        <v>369</v>
      </c>
      <c r="D89" s="126" t="s">
        <v>547</v>
      </c>
      <c r="E89" s="126" t="s">
        <v>548</v>
      </c>
      <c r="F89" s="126"/>
      <c r="G89" s="126"/>
      <c r="H89" s="126"/>
      <c r="I89" s="129">
        <v>1</v>
      </c>
      <c r="J89" s="130">
        <v>599</v>
      </c>
      <c r="K89" s="127">
        <v>1974</v>
      </c>
      <c r="L89" s="126" t="s">
        <v>309</v>
      </c>
      <c r="M89" s="32" t="str">
        <f t="shared" si="2"/>
        <v>U00083</v>
      </c>
      <c r="N89" s="33" t="s">
        <v>29</v>
      </c>
      <c r="O89" s="32" t="str">
        <f t="shared" si="3"/>
        <v>002/2026</v>
      </c>
      <c r="P89" s="32" t="s">
        <v>31</v>
      </c>
    </row>
    <row r="90" spans="1:16" x14ac:dyDescent="0.25">
      <c r="A90" s="126" t="s">
        <v>549</v>
      </c>
      <c r="B90" s="126" t="s">
        <v>242</v>
      </c>
      <c r="C90" s="131" t="s">
        <v>550</v>
      </c>
      <c r="D90" s="122" t="s">
        <v>551</v>
      </c>
      <c r="E90" s="126" t="s">
        <v>552</v>
      </c>
      <c r="F90" s="126"/>
      <c r="G90" s="126"/>
      <c r="H90" s="126"/>
      <c r="I90" s="129">
        <v>1</v>
      </c>
      <c r="J90" s="130">
        <v>1890</v>
      </c>
      <c r="K90" s="127">
        <v>1977</v>
      </c>
      <c r="L90" s="126" t="s">
        <v>309</v>
      </c>
      <c r="M90" s="32" t="str">
        <f t="shared" si="2"/>
        <v>U00084</v>
      </c>
      <c r="N90" s="33" t="s">
        <v>29</v>
      </c>
      <c r="O90" s="32" t="str">
        <f t="shared" si="3"/>
        <v>002/2026</v>
      </c>
      <c r="P90" s="32" t="s">
        <v>31</v>
      </c>
    </row>
    <row r="91" spans="1:16" x14ac:dyDescent="0.25">
      <c r="A91" s="126" t="s">
        <v>553</v>
      </c>
      <c r="B91" s="126" t="s">
        <v>260</v>
      </c>
      <c r="C91" s="131" t="s">
        <v>554</v>
      </c>
      <c r="D91" s="126" t="s">
        <v>555</v>
      </c>
      <c r="E91" s="126" t="s">
        <v>556</v>
      </c>
      <c r="F91" s="126"/>
      <c r="G91" s="126"/>
      <c r="H91" s="126"/>
      <c r="I91" s="129">
        <v>1</v>
      </c>
      <c r="J91" s="130">
        <v>1445</v>
      </c>
      <c r="K91" s="127">
        <v>2040</v>
      </c>
      <c r="L91" s="126" t="s">
        <v>309</v>
      </c>
      <c r="M91" s="32" t="str">
        <f t="shared" si="2"/>
        <v>U00085</v>
      </c>
      <c r="N91" s="33" t="s">
        <v>29</v>
      </c>
      <c r="O91" s="32" t="str">
        <f t="shared" si="3"/>
        <v>003/2026</v>
      </c>
      <c r="P91" s="32" t="s">
        <v>31</v>
      </c>
    </row>
    <row r="92" spans="1:16" x14ac:dyDescent="0.25">
      <c r="A92" s="126" t="s">
        <v>557</v>
      </c>
      <c r="B92" s="126" t="s">
        <v>260</v>
      </c>
      <c r="C92" s="131" t="s">
        <v>554</v>
      </c>
      <c r="D92" s="126" t="s">
        <v>558</v>
      </c>
      <c r="E92" s="126" t="s">
        <v>559</v>
      </c>
      <c r="F92" s="126"/>
      <c r="G92" s="126"/>
      <c r="H92" s="126"/>
      <c r="I92" s="129">
        <v>1</v>
      </c>
      <c r="J92" s="130">
        <v>1445</v>
      </c>
      <c r="K92" s="127">
        <v>2040</v>
      </c>
      <c r="L92" s="126" t="s">
        <v>309</v>
      </c>
      <c r="M92" s="32" t="str">
        <f t="shared" si="2"/>
        <v>U00086</v>
      </c>
      <c r="N92" s="33" t="s">
        <v>29</v>
      </c>
      <c r="O92" s="32" t="str">
        <f t="shared" si="3"/>
        <v>003/2026</v>
      </c>
      <c r="P92" s="32" t="s">
        <v>31</v>
      </c>
    </row>
    <row r="93" spans="1:16" x14ac:dyDescent="0.25">
      <c r="A93" s="126" t="s">
        <v>560</v>
      </c>
      <c r="B93" s="126" t="s">
        <v>260</v>
      </c>
      <c r="C93" s="131" t="s">
        <v>554</v>
      </c>
      <c r="D93" s="126" t="s">
        <v>561</v>
      </c>
      <c r="E93" s="126" t="s">
        <v>562</v>
      </c>
      <c r="F93" s="126"/>
      <c r="G93" s="126"/>
      <c r="H93" s="126"/>
      <c r="I93" s="129">
        <v>1</v>
      </c>
      <c r="J93" s="130">
        <v>1445</v>
      </c>
      <c r="K93" s="127">
        <v>2040</v>
      </c>
      <c r="L93" s="126" t="s">
        <v>309</v>
      </c>
      <c r="M93" s="32" t="str">
        <f t="shared" si="2"/>
        <v>U00087</v>
      </c>
      <c r="N93" s="33" t="s">
        <v>29</v>
      </c>
      <c r="O93" s="32" t="str">
        <f t="shared" si="3"/>
        <v>003/2026</v>
      </c>
      <c r="P93" s="32" t="s">
        <v>31</v>
      </c>
    </row>
    <row r="94" spans="1:16" x14ac:dyDescent="0.25">
      <c r="A94" s="126" t="s">
        <v>563</v>
      </c>
      <c r="B94" s="126" t="s">
        <v>260</v>
      </c>
      <c r="C94" s="131" t="s">
        <v>554</v>
      </c>
      <c r="D94" s="126" t="s">
        <v>564</v>
      </c>
      <c r="E94" s="126" t="s">
        <v>565</v>
      </c>
      <c r="F94" s="126"/>
      <c r="G94" s="126"/>
      <c r="H94" s="126"/>
      <c r="I94" s="129">
        <v>1</v>
      </c>
      <c r="J94" s="130">
        <v>1445</v>
      </c>
      <c r="K94" s="127">
        <v>2040</v>
      </c>
      <c r="L94" s="126" t="s">
        <v>309</v>
      </c>
      <c r="M94" s="32" t="str">
        <f t="shared" si="2"/>
        <v>U00088</v>
      </c>
      <c r="N94" s="33" t="s">
        <v>29</v>
      </c>
      <c r="O94" s="32" t="str">
        <f t="shared" si="3"/>
        <v>003/2026</v>
      </c>
      <c r="P94" s="32" t="s">
        <v>31</v>
      </c>
    </row>
    <row r="95" spans="1:16" x14ac:dyDescent="0.25">
      <c r="A95" s="126" t="s">
        <v>566</v>
      </c>
      <c r="B95" s="126" t="s">
        <v>260</v>
      </c>
      <c r="C95" s="131" t="s">
        <v>554</v>
      </c>
      <c r="D95" s="126" t="s">
        <v>567</v>
      </c>
      <c r="E95" s="126" t="s">
        <v>568</v>
      </c>
      <c r="F95" s="126"/>
      <c r="G95" s="126"/>
      <c r="H95" s="126"/>
      <c r="I95" s="129">
        <v>1</v>
      </c>
      <c r="J95" s="130">
        <v>1445</v>
      </c>
      <c r="K95" s="127">
        <v>2040</v>
      </c>
      <c r="L95" s="126" t="s">
        <v>309</v>
      </c>
      <c r="M95" s="32" t="str">
        <f t="shared" si="2"/>
        <v>U00089</v>
      </c>
      <c r="N95" s="33" t="s">
        <v>29</v>
      </c>
      <c r="O95" s="32" t="str">
        <f t="shared" si="3"/>
        <v>003/2026</v>
      </c>
      <c r="P95" s="32" t="s">
        <v>31</v>
      </c>
    </row>
    <row r="96" spans="1:16" x14ac:dyDescent="0.25">
      <c r="A96" s="126" t="s">
        <v>569</v>
      </c>
      <c r="B96" s="126" t="s">
        <v>260</v>
      </c>
      <c r="C96" s="131" t="s">
        <v>554</v>
      </c>
      <c r="D96" s="126" t="s">
        <v>570</v>
      </c>
      <c r="E96" s="126" t="s">
        <v>571</v>
      </c>
      <c r="F96" s="126"/>
      <c r="G96" s="126"/>
      <c r="H96" s="126"/>
      <c r="I96" s="129">
        <v>1</v>
      </c>
      <c r="J96" s="130">
        <v>1445</v>
      </c>
      <c r="K96" s="127">
        <v>2040</v>
      </c>
      <c r="L96" s="126" t="s">
        <v>309</v>
      </c>
      <c r="M96" s="32" t="str">
        <f t="shared" si="2"/>
        <v>U00090</v>
      </c>
      <c r="N96" s="33" t="s">
        <v>29</v>
      </c>
      <c r="O96" s="32" t="str">
        <f t="shared" si="3"/>
        <v>003/2026</v>
      </c>
      <c r="P96" s="32" t="s">
        <v>31</v>
      </c>
    </row>
    <row r="97" spans="1:16" x14ac:dyDescent="0.25">
      <c r="A97" s="126" t="s">
        <v>572</v>
      </c>
      <c r="B97" s="126" t="s">
        <v>260</v>
      </c>
      <c r="C97" s="131" t="s">
        <v>554</v>
      </c>
      <c r="D97" s="126" t="s">
        <v>573</v>
      </c>
      <c r="E97" s="126" t="s">
        <v>574</v>
      </c>
      <c r="F97" s="126"/>
      <c r="G97" s="126"/>
      <c r="H97" s="126"/>
      <c r="I97" s="129">
        <v>1</v>
      </c>
      <c r="J97" s="130">
        <v>1445</v>
      </c>
      <c r="K97" s="127">
        <v>2040</v>
      </c>
      <c r="L97" s="126" t="s">
        <v>309</v>
      </c>
      <c r="M97" s="32" t="str">
        <f t="shared" si="2"/>
        <v>U00091</v>
      </c>
      <c r="N97" s="33" t="s">
        <v>29</v>
      </c>
      <c r="O97" s="32" t="str">
        <f t="shared" si="3"/>
        <v>003/2026</v>
      </c>
      <c r="P97" s="32" t="s">
        <v>31</v>
      </c>
    </row>
    <row r="98" spans="1:16" x14ac:dyDescent="0.25">
      <c r="A98" s="126" t="s">
        <v>575</v>
      </c>
      <c r="B98" s="126" t="s">
        <v>260</v>
      </c>
      <c r="C98" s="131" t="s">
        <v>554</v>
      </c>
      <c r="D98" s="126" t="s">
        <v>576</v>
      </c>
      <c r="E98" s="126" t="s">
        <v>577</v>
      </c>
      <c r="F98" s="126"/>
      <c r="G98" s="126"/>
      <c r="H98" s="126"/>
      <c r="I98" s="129">
        <v>1</v>
      </c>
      <c r="J98" s="130">
        <v>1445</v>
      </c>
      <c r="K98" s="127">
        <v>2040</v>
      </c>
      <c r="L98" s="126" t="s">
        <v>309</v>
      </c>
      <c r="M98" s="32" t="str">
        <f t="shared" si="2"/>
        <v>U00092</v>
      </c>
      <c r="N98" s="33" t="s">
        <v>29</v>
      </c>
      <c r="O98" s="32" t="str">
        <f t="shared" si="3"/>
        <v>003/2026</v>
      </c>
      <c r="P98" s="32" t="s">
        <v>31</v>
      </c>
    </row>
    <row r="99" spans="1:16" x14ac:dyDescent="0.25">
      <c r="A99" s="126" t="s">
        <v>578</v>
      </c>
      <c r="B99" s="126" t="s">
        <v>260</v>
      </c>
      <c r="C99" s="128">
        <v>46084</v>
      </c>
      <c r="D99" s="126" t="s">
        <v>579</v>
      </c>
      <c r="E99" s="126" t="s">
        <v>580</v>
      </c>
      <c r="F99" s="126"/>
      <c r="G99" s="126"/>
      <c r="H99" s="126"/>
      <c r="I99" s="129">
        <v>1</v>
      </c>
      <c r="J99" s="130">
        <v>1990</v>
      </c>
      <c r="K99" s="127">
        <v>2053</v>
      </c>
      <c r="L99" s="126" t="s">
        <v>309</v>
      </c>
      <c r="M99" s="32" t="str">
        <f t="shared" si="2"/>
        <v>U00093</v>
      </c>
      <c r="N99" s="33" t="s">
        <v>29</v>
      </c>
      <c r="O99" s="32" t="str">
        <f t="shared" si="3"/>
        <v>003/2026</v>
      </c>
      <c r="P99" s="32" t="s">
        <v>31</v>
      </c>
    </row>
    <row r="100" spans="1:16" x14ac:dyDescent="0.25">
      <c r="A100" s="126" t="s">
        <v>581</v>
      </c>
      <c r="B100" s="126" t="s">
        <v>260</v>
      </c>
      <c r="C100" s="131" t="s">
        <v>554</v>
      </c>
      <c r="D100" s="126" t="s">
        <v>582</v>
      </c>
      <c r="E100" s="126" t="s">
        <v>583</v>
      </c>
      <c r="F100" s="126"/>
      <c r="G100" s="126"/>
      <c r="H100" s="126"/>
      <c r="I100" s="129">
        <v>1</v>
      </c>
      <c r="J100" s="130">
        <v>795</v>
      </c>
      <c r="K100" s="127">
        <v>2060</v>
      </c>
      <c r="L100" s="126" t="s">
        <v>309</v>
      </c>
      <c r="M100" s="32" t="str">
        <f t="shared" si="2"/>
        <v>U00094</v>
      </c>
      <c r="N100" s="33" t="s">
        <v>29</v>
      </c>
      <c r="O100" s="32" t="str">
        <f t="shared" si="3"/>
        <v>003/2026</v>
      </c>
      <c r="P100" s="32" t="s">
        <v>31</v>
      </c>
    </row>
    <row r="101" spans="1:16" x14ac:dyDescent="0.25">
      <c r="A101" s="126" t="s">
        <v>584</v>
      </c>
      <c r="B101" s="126" t="s">
        <v>260</v>
      </c>
      <c r="C101" s="131" t="s">
        <v>554</v>
      </c>
      <c r="D101" s="126" t="s">
        <v>585</v>
      </c>
      <c r="E101" s="126" t="s">
        <v>583</v>
      </c>
      <c r="F101" s="126"/>
      <c r="G101" s="126"/>
      <c r="H101" s="126"/>
      <c r="I101" s="129">
        <v>1</v>
      </c>
      <c r="J101" s="130">
        <v>795</v>
      </c>
      <c r="K101" s="127">
        <v>2060</v>
      </c>
      <c r="L101" s="126" t="s">
        <v>309</v>
      </c>
      <c r="M101" s="32" t="str">
        <f t="shared" si="2"/>
        <v>U00095</v>
      </c>
      <c r="N101" s="33" t="s">
        <v>29</v>
      </c>
      <c r="O101" s="32" t="str">
        <f t="shared" si="3"/>
        <v>003/2026</v>
      </c>
      <c r="P101" s="32" t="s">
        <v>31</v>
      </c>
    </row>
    <row r="102" spans="1:16" x14ac:dyDescent="0.25">
      <c r="A102" s="126" t="s">
        <v>586</v>
      </c>
      <c r="B102" s="126" t="s">
        <v>260</v>
      </c>
      <c r="C102" s="131" t="s">
        <v>554</v>
      </c>
      <c r="D102" s="126" t="s">
        <v>587</v>
      </c>
      <c r="E102" s="126" t="s">
        <v>588</v>
      </c>
      <c r="F102" s="126"/>
      <c r="G102" s="126"/>
      <c r="H102" s="126"/>
      <c r="I102" s="129">
        <v>1</v>
      </c>
      <c r="J102" s="130">
        <v>1790</v>
      </c>
      <c r="K102" s="127">
        <v>2060</v>
      </c>
      <c r="L102" s="126" t="s">
        <v>309</v>
      </c>
      <c r="M102" s="32" t="str">
        <f t="shared" si="2"/>
        <v>U00096</v>
      </c>
      <c r="N102" s="33" t="s">
        <v>29</v>
      </c>
      <c r="O102" s="32" t="str">
        <f t="shared" si="3"/>
        <v>003/2026</v>
      </c>
      <c r="P102" s="32" t="s">
        <v>31</v>
      </c>
    </row>
    <row r="103" spans="1:16" x14ac:dyDescent="0.25">
      <c r="A103" s="126" t="s">
        <v>589</v>
      </c>
      <c r="B103" s="126" t="s">
        <v>590</v>
      </c>
      <c r="C103" s="131" t="s">
        <v>591</v>
      </c>
      <c r="D103" s="126" t="s">
        <v>592</v>
      </c>
      <c r="E103" s="126" t="s">
        <v>593</v>
      </c>
      <c r="F103" s="126"/>
      <c r="G103" s="126"/>
      <c r="H103" s="126"/>
      <c r="I103" s="129">
        <v>1</v>
      </c>
      <c r="J103" s="130">
        <v>8500</v>
      </c>
      <c r="K103" s="127">
        <v>2211</v>
      </c>
      <c r="L103" s="126" t="s">
        <v>309</v>
      </c>
      <c r="M103" s="32" t="str">
        <f t="shared" si="2"/>
        <v>U00097</v>
      </c>
      <c r="N103" s="33" t="s">
        <v>29</v>
      </c>
      <c r="O103" s="32" t="str">
        <f t="shared" si="3"/>
        <v>006/2026</v>
      </c>
      <c r="P103" s="32" t="s">
        <v>31</v>
      </c>
    </row>
    <row r="104" spans="1:16" x14ac:dyDescent="0.25">
      <c r="A104" s="126" t="s">
        <v>594</v>
      </c>
      <c r="B104" s="126" t="s">
        <v>590</v>
      </c>
      <c r="C104" s="131" t="s">
        <v>591</v>
      </c>
      <c r="D104" s="126" t="s">
        <v>595</v>
      </c>
      <c r="E104" s="126" t="s">
        <v>593</v>
      </c>
      <c r="F104" s="126"/>
      <c r="G104" s="126"/>
      <c r="H104" s="126"/>
      <c r="I104" s="129">
        <v>1</v>
      </c>
      <c r="J104" s="130">
        <v>8500</v>
      </c>
      <c r="K104" s="127">
        <v>2211</v>
      </c>
      <c r="L104" s="126" t="s">
        <v>309</v>
      </c>
      <c r="M104" s="32" t="str">
        <f t="shared" si="2"/>
        <v>U00098</v>
      </c>
      <c r="N104" s="33" t="s">
        <v>29</v>
      </c>
      <c r="O104" s="32" t="str">
        <f t="shared" si="3"/>
        <v>006/2026</v>
      </c>
      <c r="P104" s="32" t="s">
        <v>31</v>
      </c>
    </row>
    <row r="105" spans="1:16" x14ac:dyDescent="0.25">
      <c r="A105" s="126" t="s">
        <v>596</v>
      </c>
      <c r="B105" s="126" t="s">
        <v>590</v>
      </c>
      <c r="C105" s="131" t="s">
        <v>591</v>
      </c>
      <c r="D105" s="126" t="s">
        <v>597</v>
      </c>
      <c r="E105" s="126" t="s">
        <v>598</v>
      </c>
      <c r="F105" s="126"/>
      <c r="G105" s="126"/>
      <c r="H105" s="126"/>
      <c r="I105" s="129">
        <v>1</v>
      </c>
      <c r="J105" s="130">
        <v>3698.25</v>
      </c>
      <c r="K105" s="127">
        <v>2274</v>
      </c>
      <c r="L105" s="126" t="s">
        <v>309</v>
      </c>
      <c r="M105" s="32" t="str">
        <f t="shared" si="2"/>
        <v>U00099</v>
      </c>
      <c r="N105" s="33" t="s">
        <v>29</v>
      </c>
      <c r="O105" s="32" t="str">
        <f t="shared" si="3"/>
        <v>006/2026</v>
      </c>
      <c r="P105" s="32" t="s">
        <v>31</v>
      </c>
    </row>
    <row r="106" spans="1:16" x14ac:dyDescent="0.25">
      <c r="A106" s="126" t="s">
        <v>599</v>
      </c>
      <c r="B106" s="126" t="s">
        <v>590</v>
      </c>
      <c r="C106" s="131" t="s">
        <v>591</v>
      </c>
      <c r="D106" s="126" t="s">
        <v>597</v>
      </c>
      <c r="E106" s="126" t="s">
        <v>598</v>
      </c>
      <c r="F106" s="126"/>
      <c r="G106" s="126"/>
      <c r="H106" s="126"/>
      <c r="I106" s="129">
        <v>1</v>
      </c>
      <c r="J106" s="130">
        <v>3698.25</v>
      </c>
      <c r="K106" s="127">
        <v>2274</v>
      </c>
      <c r="L106" s="126" t="s">
        <v>309</v>
      </c>
      <c r="M106" s="32" t="str">
        <f t="shared" si="2"/>
        <v>U00100</v>
      </c>
      <c r="N106" s="33" t="s">
        <v>29</v>
      </c>
      <c r="O106" s="32" t="str">
        <f t="shared" si="3"/>
        <v>006/2026</v>
      </c>
      <c r="P106" s="32" t="s">
        <v>31</v>
      </c>
    </row>
    <row r="107" spans="1:16" x14ac:dyDescent="0.25">
      <c r="A107" s="126" t="s">
        <v>600</v>
      </c>
      <c r="B107" s="126" t="s">
        <v>590</v>
      </c>
      <c r="C107" s="131" t="s">
        <v>591</v>
      </c>
      <c r="D107" s="126" t="s">
        <v>597</v>
      </c>
      <c r="E107" s="126" t="s">
        <v>598</v>
      </c>
      <c r="F107" s="126"/>
      <c r="G107" s="126"/>
      <c r="H107" s="126"/>
      <c r="I107" s="129">
        <v>1</v>
      </c>
      <c r="J107" s="130">
        <v>3698.25</v>
      </c>
      <c r="K107" s="127">
        <v>2274</v>
      </c>
      <c r="L107" s="126" t="s">
        <v>309</v>
      </c>
      <c r="M107" s="32" t="str">
        <f t="shared" si="2"/>
        <v>U00101</v>
      </c>
      <c r="N107" s="33" t="s">
        <v>29</v>
      </c>
      <c r="O107" s="32" t="str">
        <f t="shared" si="3"/>
        <v>006/2026</v>
      </c>
      <c r="P107" s="32" t="s">
        <v>31</v>
      </c>
    </row>
    <row r="108" spans="1:16" x14ac:dyDescent="0.25">
      <c r="A108" s="126" t="s">
        <v>601</v>
      </c>
      <c r="B108" s="126" t="s">
        <v>590</v>
      </c>
      <c r="C108" s="131" t="s">
        <v>591</v>
      </c>
      <c r="D108" s="126" t="s">
        <v>597</v>
      </c>
      <c r="E108" s="126" t="s">
        <v>598</v>
      </c>
      <c r="F108" s="126"/>
      <c r="G108" s="126"/>
      <c r="H108" s="126"/>
      <c r="I108" s="129">
        <v>1</v>
      </c>
      <c r="J108" s="130">
        <v>3698.25</v>
      </c>
      <c r="K108" s="127">
        <v>2274</v>
      </c>
      <c r="L108" s="126" t="s">
        <v>309</v>
      </c>
      <c r="M108" s="32" t="str">
        <f t="shared" si="2"/>
        <v>U00102</v>
      </c>
      <c r="N108" s="33" t="s">
        <v>29</v>
      </c>
      <c r="O108" s="32" t="str">
        <f t="shared" si="3"/>
        <v>006/2026</v>
      </c>
      <c r="P108" s="32" t="s">
        <v>31</v>
      </c>
    </row>
    <row r="109" spans="1:16" x14ac:dyDescent="0.25">
      <c r="A109" s="126" t="s">
        <v>602</v>
      </c>
      <c r="B109" s="126" t="s">
        <v>603</v>
      </c>
      <c r="C109" s="131" t="s">
        <v>604</v>
      </c>
      <c r="D109" s="126" t="s">
        <v>605</v>
      </c>
      <c r="E109" s="126" t="s">
        <v>606</v>
      </c>
      <c r="F109" s="126"/>
      <c r="G109" s="126"/>
      <c r="H109" s="126"/>
      <c r="I109" s="129">
        <v>1</v>
      </c>
      <c r="J109" s="130">
        <v>2515</v>
      </c>
      <c r="K109" s="127">
        <v>2283</v>
      </c>
      <c r="L109" s="126" t="s">
        <v>309</v>
      </c>
      <c r="M109" s="32" t="str">
        <f t="shared" si="2"/>
        <v>U00103</v>
      </c>
      <c r="N109" s="33" t="s">
        <v>29</v>
      </c>
      <c r="O109" s="32" t="str">
        <f t="shared" si="3"/>
        <v>007/2026</v>
      </c>
      <c r="P109" s="32" t="s">
        <v>31</v>
      </c>
    </row>
    <row r="110" spans="1:16" x14ac:dyDescent="0.25">
      <c r="A110" s="136" t="s">
        <v>607</v>
      </c>
      <c r="B110" s="126"/>
      <c r="C110" s="126"/>
      <c r="D110" s="126"/>
      <c r="E110" s="126"/>
      <c r="F110" s="126"/>
      <c r="G110" s="126"/>
      <c r="H110" s="126"/>
      <c r="I110" s="129"/>
      <c r="J110" s="137">
        <f>SUBTOTAL(9,J7:J109)</f>
        <v>164080.95000000001</v>
      </c>
      <c r="K110" s="126"/>
      <c r="L110" s="126"/>
      <c r="M110" s="138"/>
    </row>
  </sheetData>
  <dataValidations count="1">
    <dataValidation type="textLength" errorStyle="information" allowBlank="1" showInputMessage="1" showErrorMessage="1" error="XLBVal:8=Account Code_x000d__x000a_XLBRowCount:3=4_x000d__x000a_XLBColCount:3=7_x000d__x000a_Style:2=1_x000d__x000a_" sqref="A6:C6">
      <formula1>0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7" tint="0.79998168889431442"/>
  </sheetPr>
  <dimension ref="A1:V126"/>
  <sheetViews>
    <sheetView workbookViewId="0">
      <selection activeCell="F19" sqref="F19"/>
    </sheetView>
  </sheetViews>
  <sheetFormatPr defaultColWidth="8.85546875" defaultRowHeight="26.25" x14ac:dyDescent="0.55000000000000004"/>
  <cols>
    <col min="1" max="1" width="11.7109375" style="164" customWidth="1"/>
    <col min="2" max="2" width="24.140625" style="164" customWidth="1"/>
    <col min="3" max="3" width="12.5703125" style="164" bestFit="1" customWidth="1"/>
    <col min="4" max="5" width="15.140625" style="164" bestFit="1" customWidth="1"/>
    <col min="6" max="6" width="66.28515625" style="158" bestFit="1" customWidth="1"/>
    <col min="7" max="7" width="59.7109375" style="158" bestFit="1" customWidth="1"/>
    <col min="8" max="8" width="20.85546875" style="158" bestFit="1" customWidth="1"/>
    <col min="9" max="9" width="24" style="158" bestFit="1" customWidth="1"/>
    <col min="10" max="10" width="10.42578125" style="164" bestFit="1" customWidth="1"/>
    <col min="11" max="11" width="16.42578125" style="158" bestFit="1" customWidth="1"/>
    <col min="12" max="12" width="14.5703125" style="158" bestFit="1" customWidth="1"/>
    <col min="13" max="13" width="11.28515625" style="158" bestFit="1" customWidth="1"/>
    <col min="14" max="16384" width="8.85546875" style="158"/>
  </cols>
  <sheetData>
    <row r="1" spans="1:22" s="143" customFormat="1" ht="34.5" x14ac:dyDescent="0.7">
      <c r="A1" s="140" t="s">
        <v>283</v>
      </c>
      <c r="B1" s="141"/>
      <c r="C1" s="142"/>
      <c r="D1" s="142"/>
      <c r="E1" s="142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S1" s="144"/>
    </row>
    <row r="2" spans="1:22" s="143" customFormat="1" ht="34.5" x14ac:dyDescent="0.7">
      <c r="A2" s="140" t="s">
        <v>1</v>
      </c>
      <c r="B2" s="141"/>
      <c r="C2" s="142"/>
      <c r="D2" s="142"/>
      <c r="E2" s="142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S2" s="144"/>
    </row>
    <row r="3" spans="1:22" s="143" customFormat="1" ht="34.5" x14ac:dyDescent="0.7">
      <c r="A3" s="140" t="s">
        <v>608</v>
      </c>
      <c r="B3" s="141"/>
      <c r="C3" s="142"/>
      <c r="D3" s="142"/>
      <c r="E3" s="142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S3" s="144"/>
    </row>
    <row r="4" spans="1:22" s="143" customFormat="1" ht="34.5" x14ac:dyDescent="0.7">
      <c r="A4" s="140" t="s">
        <v>609</v>
      </c>
      <c r="B4" s="141"/>
      <c r="C4" s="142"/>
      <c r="D4" s="142"/>
      <c r="E4" s="142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S4" s="144"/>
    </row>
    <row r="5" spans="1:22" s="147" customFormat="1" ht="25.5" customHeight="1" x14ac:dyDescent="0.55000000000000004">
      <c r="A5" s="145" t="s">
        <v>5</v>
      </c>
      <c r="B5" s="145"/>
      <c r="C5" s="145" t="s">
        <v>5</v>
      </c>
      <c r="D5" s="145"/>
      <c r="E5" s="145" t="s">
        <v>610</v>
      </c>
      <c r="F5" s="146"/>
      <c r="G5" s="146"/>
      <c r="H5" s="146"/>
      <c r="I5" s="145" t="s">
        <v>7</v>
      </c>
      <c r="J5" s="145"/>
      <c r="K5" s="146">
        <v>24.67</v>
      </c>
      <c r="L5" s="146"/>
    </row>
    <row r="6" spans="1:22" s="148" customFormat="1" ht="25.5" customHeight="1" x14ac:dyDescent="0.55000000000000004">
      <c r="A6" s="125" t="s">
        <v>18</v>
      </c>
      <c r="B6" s="125" t="s">
        <v>12</v>
      </c>
      <c r="C6" s="125" t="s">
        <v>10</v>
      </c>
      <c r="D6" s="125" t="s">
        <v>611</v>
      </c>
      <c r="E6" s="125" t="s">
        <v>611</v>
      </c>
      <c r="F6" s="125" t="s">
        <v>13</v>
      </c>
      <c r="G6" s="125" t="s">
        <v>612</v>
      </c>
      <c r="H6" s="145" t="s">
        <v>613</v>
      </c>
      <c r="I6" s="145" t="s">
        <v>17</v>
      </c>
      <c r="J6" s="125" t="s">
        <v>289</v>
      </c>
      <c r="K6" s="125" t="s">
        <v>614</v>
      </c>
      <c r="L6" s="125" t="s">
        <v>615</v>
      </c>
    </row>
    <row r="7" spans="1:22" s="154" customFormat="1" x14ac:dyDescent="0.55000000000000004">
      <c r="A7" s="149" t="s">
        <v>616</v>
      </c>
      <c r="B7" s="150" t="s">
        <v>617</v>
      </c>
      <c r="C7" s="150" t="s">
        <v>618</v>
      </c>
      <c r="D7" s="150">
        <v>12449</v>
      </c>
      <c r="E7" s="150" t="s">
        <v>619</v>
      </c>
      <c r="F7" s="151" t="s">
        <v>620</v>
      </c>
      <c r="G7" s="151" t="s">
        <v>621</v>
      </c>
      <c r="H7" s="151"/>
      <c r="I7" s="151" t="s">
        <v>622</v>
      </c>
      <c r="J7" s="150">
        <v>1</v>
      </c>
      <c r="K7" s="152">
        <v>2000</v>
      </c>
      <c r="L7" s="152">
        <f t="shared" ref="L7:L70" si="0">+K7*$K$5</f>
        <v>49340</v>
      </c>
      <c r="M7" s="153"/>
      <c r="N7" s="153"/>
      <c r="O7" s="153"/>
      <c r="P7" s="153"/>
      <c r="Q7" s="153"/>
      <c r="R7" s="153"/>
      <c r="S7" s="153"/>
      <c r="T7" s="153"/>
      <c r="U7" s="153"/>
      <c r="V7" s="153"/>
    </row>
    <row r="8" spans="1:22" x14ac:dyDescent="0.55000000000000004">
      <c r="A8" s="155" t="s">
        <v>623</v>
      </c>
      <c r="B8" s="155" t="s">
        <v>624</v>
      </c>
      <c r="C8" s="155" t="s">
        <v>625</v>
      </c>
      <c r="D8" s="155">
        <v>13676</v>
      </c>
      <c r="E8" s="155" t="s">
        <v>626</v>
      </c>
      <c r="F8" s="156" t="s">
        <v>627</v>
      </c>
      <c r="G8" s="156" t="s">
        <v>628</v>
      </c>
      <c r="H8" s="156"/>
      <c r="I8" s="156"/>
      <c r="J8" s="155">
        <v>1</v>
      </c>
      <c r="K8" s="157">
        <f>648.36/6</f>
        <v>108.06</v>
      </c>
      <c r="L8" s="157">
        <f t="shared" si="0"/>
        <v>2665.8402000000001</v>
      </c>
    </row>
    <row r="9" spans="1:22" x14ac:dyDescent="0.55000000000000004">
      <c r="A9" s="155" t="s">
        <v>629</v>
      </c>
      <c r="B9" s="155" t="s">
        <v>624</v>
      </c>
      <c r="C9" s="155" t="s">
        <v>625</v>
      </c>
      <c r="D9" s="155">
        <v>13676</v>
      </c>
      <c r="E9" s="155" t="s">
        <v>626</v>
      </c>
      <c r="F9" s="156" t="s">
        <v>630</v>
      </c>
      <c r="G9" s="156" t="s">
        <v>631</v>
      </c>
      <c r="H9" s="156"/>
      <c r="I9" s="156"/>
      <c r="J9" s="155">
        <v>1</v>
      </c>
      <c r="K9" s="157">
        <f t="shared" ref="K9:K13" si="1">648.36/6</f>
        <v>108.06</v>
      </c>
      <c r="L9" s="157">
        <f t="shared" si="0"/>
        <v>2665.8402000000001</v>
      </c>
    </row>
    <row r="10" spans="1:22" x14ac:dyDescent="0.55000000000000004">
      <c r="A10" s="155" t="s">
        <v>632</v>
      </c>
      <c r="B10" s="155" t="s">
        <v>624</v>
      </c>
      <c r="C10" s="155" t="s">
        <v>625</v>
      </c>
      <c r="D10" s="155">
        <v>13676</v>
      </c>
      <c r="E10" s="155" t="s">
        <v>626</v>
      </c>
      <c r="F10" s="156" t="s">
        <v>633</v>
      </c>
      <c r="G10" s="156" t="s">
        <v>634</v>
      </c>
      <c r="H10" s="156"/>
      <c r="I10" s="156"/>
      <c r="J10" s="155">
        <v>1</v>
      </c>
      <c r="K10" s="157">
        <f t="shared" si="1"/>
        <v>108.06</v>
      </c>
      <c r="L10" s="157">
        <f t="shared" si="0"/>
        <v>2665.8402000000001</v>
      </c>
    </row>
    <row r="11" spans="1:22" x14ac:dyDescent="0.55000000000000004">
      <c r="A11" s="155" t="s">
        <v>635</v>
      </c>
      <c r="B11" s="155" t="s">
        <v>624</v>
      </c>
      <c r="C11" s="155" t="s">
        <v>625</v>
      </c>
      <c r="D11" s="155">
        <v>13676</v>
      </c>
      <c r="E11" s="155" t="s">
        <v>626</v>
      </c>
      <c r="F11" s="156" t="s">
        <v>636</v>
      </c>
      <c r="G11" s="156" t="s">
        <v>637</v>
      </c>
      <c r="H11" s="156"/>
      <c r="I11" s="156"/>
      <c r="J11" s="155">
        <v>1</v>
      </c>
      <c r="K11" s="157">
        <f t="shared" si="1"/>
        <v>108.06</v>
      </c>
      <c r="L11" s="157">
        <f t="shared" si="0"/>
        <v>2665.8402000000001</v>
      </c>
    </row>
    <row r="12" spans="1:22" x14ac:dyDescent="0.55000000000000004">
      <c r="A12" s="155" t="s">
        <v>638</v>
      </c>
      <c r="B12" s="155" t="s">
        <v>624</v>
      </c>
      <c r="C12" s="155" t="s">
        <v>625</v>
      </c>
      <c r="D12" s="155">
        <v>13676</v>
      </c>
      <c r="E12" s="155" t="s">
        <v>626</v>
      </c>
      <c r="F12" s="156" t="s">
        <v>639</v>
      </c>
      <c r="G12" s="156" t="s">
        <v>640</v>
      </c>
      <c r="H12" s="156"/>
      <c r="I12" s="156"/>
      <c r="J12" s="155">
        <v>1</v>
      </c>
      <c r="K12" s="157">
        <f t="shared" si="1"/>
        <v>108.06</v>
      </c>
      <c r="L12" s="157">
        <f t="shared" si="0"/>
        <v>2665.8402000000001</v>
      </c>
    </row>
    <row r="13" spans="1:22" x14ac:dyDescent="0.55000000000000004">
      <c r="A13" s="155" t="s">
        <v>641</v>
      </c>
      <c r="B13" s="155" t="s">
        <v>624</v>
      </c>
      <c r="C13" s="155" t="s">
        <v>625</v>
      </c>
      <c r="D13" s="155">
        <v>13676</v>
      </c>
      <c r="E13" s="155" t="s">
        <v>626</v>
      </c>
      <c r="F13" s="156" t="s">
        <v>642</v>
      </c>
      <c r="G13" s="156" t="s">
        <v>643</v>
      </c>
      <c r="H13" s="156"/>
      <c r="I13" s="156"/>
      <c r="J13" s="155">
        <v>1</v>
      </c>
      <c r="K13" s="157">
        <f t="shared" si="1"/>
        <v>108.06</v>
      </c>
      <c r="L13" s="157">
        <f t="shared" si="0"/>
        <v>2665.8402000000001</v>
      </c>
    </row>
    <row r="14" spans="1:22" x14ac:dyDescent="0.55000000000000004">
      <c r="A14" s="155" t="s">
        <v>644</v>
      </c>
      <c r="B14" s="155" t="s">
        <v>645</v>
      </c>
      <c r="C14" s="155" t="s">
        <v>646</v>
      </c>
      <c r="D14" s="155">
        <v>13898</v>
      </c>
      <c r="E14" s="155" t="s">
        <v>647</v>
      </c>
      <c r="F14" s="156" t="s">
        <v>648</v>
      </c>
      <c r="G14" s="156" t="s">
        <v>649</v>
      </c>
      <c r="H14" s="156"/>
      <c r="I14" s="156"/>
      <c r="J14" s="155">
        <v>1</v>
      </c>
      <c r="K14" s="157">
        <v>729.53</v>
      </c>
      <c r="L14" s="157">
        <f t="shared" si="0"/>
        <v>17997.505100000002</v>
      </c>
    </row>
    <row r="15" spans="1:22" x14ac:dyDescent="0.55000000000000004">
      <c r="A15" s="155" t="s">
        <v>650</v>
      </c>
      <c r="B15" s="155" t="s">
        <v>651</v>
      </c>
      <c r="C15" s="155" t="s">
        <v>652</v>
      </c>
      <c r="D15" s="155">
        <v>13902</v>
      </c>
      <c r="E15" s="155" t="s">
        <v>653</v>
      </c>
      <c r="F15" s="156" t="s">
        <v>654</v>
      </c>
      <c r="G15" s="156" t="s">
        <v>655</v>
      </c>
      <c r="H15" s="156"/>
      <c r="I15" s="156"/>
      <c r="J15" s="155">
        <v>1</v>
      </c>
      <c r="K15" s="157">
        <f>629.86/3</f>
        <v>209.95333333333335</v>
      </c>
      <c r="L15" s="157">
        <f t="shared" si="0"/>
        <v>5179.548733333334</v>
      </c>
    </row>
    <row r="16" spans="1:22" x14ac:dyDescent="0.55000000000000004">
      <c r="A16" s="155" t="s">
        <v>656</v>
      </c>
      <c r="B16" s="155" t="s">
        <v>651</v>
      </c>
      <c r="C16" s="155" t="s">
        <v>652</v>
      </c>
      <c r="D16" s="155">
        <v>13902</v>
      </c>
      <c r="E16" s="155" t="s">
        <v>653</v>
      </c>
      <c r="F16" s="156" t="s">
        <v>654</v>
      </c>
      <c r="G16" s="156" t="s">
        <v>657</v>
      </c>
      <c r="H16" s="156"/>
      <c r="I16" s="156"/>
      <c r="J16" s="155">
        <v>1</v>
      </c>
      <c r="K16" s="157">
        <f t="shared" ref="K16:K17" si="2">629.86/3</f>
        <v>209.95333333333335</v>
      </c>
      <c r="L16" s="157">
        <f t="shared" si="0"/>
        <v>5179.548733333334</v>
      </c>
    </row>
    <row r="17" spans="1:12" x14ac:dyDescent="0.55000000000000004">
      <c r="A17" s="155" t="s">
        <v>658</v>
      </c>
      <c r="B17" s="155" t="s">
        <v>651</v>
      </c>
      <c r="C17" s="155" t="s">
        <v>652</v>
      </c>
      <c r="D17" s="155">
        <v>13902</v>
      </c>
      <c r="E17" s="155" t="s">
        <v>653</v>
      </c>
      <c r="F17" s="156" t="s">
        <v>654</v>
      </c>
      <c r="G17" s="156" t="s">
        <v>659</v>
      </c>
      <c r="H17" s="156"/>
      <c r="I17" s="156"/>
      <c r="J17" s="155">
        <v>1</v>
      </c>
      <c r="K17" s="157">
        <f t="shared" si="2"/>
        <v>209.95333333333335</v>
      </c>
      <c r="L17" s="157">
        <f t="shared" si="0"/>
        <v>5179.548733333334</v>
      </c>
    </row>
    <row r="18" spans="1:12" x14ac:dyDescent="0.55000000000000004">
      <c r="A18" s="155" t="s">
        <v>660</v>
      </c>
      <c r="B18" s="155" t="str">
        <f>+B8</f>
        <v>Bed</v>
      </c>
      <c r="C18" s="155" t="s">
        <v>661</v>
      </c>
      <c r="D18" s="155">
        <v>12529</v>
      </c>
      <c r="E18" s="155" t="s">
        <v>662</v>
      </c>
      <c r="F18" s="156" t="s">
        <v>663</v>
      </c>
      <c r="G18" s="156" t="s">
        <v>664</v>
      </c>
      <c r="H18" s="156"/>
      <c r="I18" s="156"/>
      <c r="J18" s="155">
        <v>1</v>
      </c>
      <c r="K18" s="157">
        <v>4173</v>
      </c>
      <c r="L18" s="157">
        <f t="shared" si="0"/>
        <v>102947.91</v>
      </c>
    </row>
    <row r="19" spans="1:12" x14ac:dyDescent="0.55000000000000004">
      <c r="A19" s="155" t="s">
        <v>665</v>
      </c>
      <c r="B19" s="155" t="s">
        <v>257</v>
      </c>
      <c r="C19" s="155" t="s">
        <v>661</v>
      </c>
      <c r="D19" s="155">
        <v>12529</v>
      </c>
      <c r="E19" s="155" t="s">
        <v>662</v>
      </c>
      <c r="F19" s="156" t="s">
        <v>666</v>
      </c>
      <c r="G19" s="156" t="s">
        <v>667</v>
      </c>
      <c r="H19" s="156"/>
      <c r="I19" s="156"/>
      <c r="J19" s="155">
        <v>1</v>
      </c>
      <c r="K19" s="157">
        <v>4173</v>
      </c>
      <c r="L19" s="157">
        <f t="shared" si="0"/>
        <v>102947.91</v>
      </c>
    </row>
    <row r="20" spans="1:12" x14ac:dyDescent="0.55000000000000004">
      <c r="A20" s="155" t="s">
        <v>668</v>
      </c>
      <c r="B20" s="155" t="s">
        <v>257</v>
      </c>
      <c r="C20" s="155" t="s">
        <v>661</v>
      </c>
      <c r="D20" s="155">
        <v>12529</v>
      </c>
      <c r="E20" s="155" t="s">
        <v>662</v>
      </c>
      <c r="F20" s="156" t="s">
        <v>669</v>
      </c>
      <c r="G20" s="156" t="s">
        <v>670</v>
      </c>
      <c r="H20" s="156"/>
      <c r="I20" s="156"/>
      <c r="J20" s="155">
        <v>1</v>
      </c>
      <c r="K20" s="157">
        <v>7864.5</v>
      </c>
      <c r="L20" s="157">
        <f t="shared" si="0"/>
        <v>194017.21500000003</v>
      </c>
    </row>
    <row r="21" spans="1:12" x14ac:dyDescent="0.55000000000000004">
      <c r="A21" s="155" t="s">
        <v>671</v>
      </c>
      <c r="B21" s="155" t="str">
        <f>+B20</f>
        <v>Camera</v>
      </c>
      <c r="C21" s="155" t="s">
        <v>661</v>
      </c>
      <c r="D21" s="155">
        <v>12529</v>
      </c>
      <c r="E21" s="155" t="s">
        <v>662</v>
      </c>
      <c r="F21" s="156" t="s">
        <v>672</v>
      </c>
      <c r="G21" s="156" t="s">
        <v>673</v>
      </c>
      <c r="H21" s="156"/>
      <c r="I21" s="156"/>
      <c r="J21" s="155">
        <v>1</v>
      </c>
      <c r="K21" s="157">
        <v>7864.5</v>
      </c>
      <c r="L21" s="157">
        <f t="shared" si="0"/>
        <v>194017.21500000003</v>
      </c>
    </row>
    <row r="22" spans="1:12" x14ac:dyDescent="0.55000000000000004">
      <c r="A22" s="155" t="s">
        <v>674</v>
      </c>
      <c r="B22" s="155" t="s">
        <v>257</v>
      </c>
      <c r="C22" s="155" t="s">
        <v>675</v>
      </c>
      <c r="D22" s="155">
        <v>14723</v>
      </c>
      <c r="E22" s="155" t="s">
        <v>676</v>
      </c>
      <c r="F22" s="156" t="s">
        <v>199</v>
      </c>
      <c r="G22" s="156" t="s">
        <v>677</v>
      </c>
      <c r="H22" s="156"/>
      <c r="I22" s="156"/>
      <c r="J22" s="159">
        <v>1</v>
      </c>
      <c r="K22" s="157">
        <v>3053</v>
      </c>
      <c r="L22" s="157">
        <f t="shared" si="0"/>
        <v>75317.510000000009</v>
      </c>
    </row>
    <row r="23" spans="1:12" x14ac:dyDescent="0.55000000000000004">
      <c r="A23" s="155" t="s">
        <v>678</v>
      </c>
      <c r="B23" s="155" t="s">
        <v>679</v>
      </c>
      <c r="C23" s="155" t="s">
        <v>661</v>
      </c>
      <c r="D23" s="155">
        <v>12529</v>
      </c>
      <c r="E23" s="155" t="s">
        <v>680</v>
      </c>
      <c r="F23" s="156" t="s">
        <v>681</v>
      </c>
      <c r="G23" s="156" t="s">
        <v>682</v>
      </c>
      <c r="H23" s="156"/>
      <c r="I23" s="156"/>
      <c r="J23" s="155">
        <v>1</v>
      </c>
      <c r="K23" s="157">
        <v>604.54999999999995</v>
      </c>
      <c r="L23" s="157">
        <f t="shared" si="0"/>
        <v>14914.2485</v>
      </c>
    </row>
    <row r="24" spans="1:12" x14ac:dyDescent="0.55000000000000004">
      <c r="A24" s="155" t="s">
        <v>683</v>
      </c>
      <c r="B24" s="155" t="s">
        <v>679</v>
      </c>
      <c r="C24" s="155" t="s">
        <v>661</v>
      </c>
      <c r="D24" s="155">
        <v>12529</v>
      </c>
      <c r="E24" s="155" t="s">
        <v>680</v>
      </c>
      <c r="F24" s="156" t="s">
        <v>684</v>
      </c>
      <c r="G24" s="156" t="s">
        <v>685</v>
      </c>
      <c r="H24" s="156"/>
      <c r="I24" s="156"/>
      <c r="J24" s="155">
        <v>1</v>
      </c>
      <c r="K24" s="157">
        <v>604.54999999999995</v>
      </c>
      <c r="L24" s="157">
        <f t="shared" si="0"/>
        <v>14914.2485</v>
      </c>
    </row>
    <row r="25" spans="1:12" x14ac:dyDescent="0.55000000000000004">
      <c r="A25" s="155" t="s">
        <v>686</v>
      </c>
      <c r="B25" s="155" t="s">
        <v>679</v>
      </c>
      <c r="C25" s="155" t="s">
        <v>661</v>
      </c>
      <c r="D25" s="155">
        <v>12529</v>
      </c>
      <c r="E25" s="155" t="s">
        <v>680</v>
      </c>
      <c r="F25" s="156" t="s">
        <v>687</v>
      </c>
      <c r="G25" s="156" t="s">
        <v>688</v>
      </c>
      <c r="H25" s="156"/>
      <c r="I25" s="156"/>
      <c r="J25" s="155">
        <v>1</v>
      </c>
      <c r="K25" s="157">
        <v>604.54999999999995</v>
      </c>
      <c r="L25" s="157">
        <f t="shared" si="0"/>
        <v>14914.2485</v>
      </c>
    </row>
    <row r="26" spans="1:12" x14ac:dyDescent="0.55000000000000004">
      <c r="A26" s="155" t="s">
        <v>689</v>
      </c>
      <c r="B26" s="155" t="s">
        <v>690</v>
      </c>
      <c r="C26" s="155" t="s">
        <v>652</v>
      </c>
      <c r="D26" s="155">
        <v>13895</v>
      </c>
      <c r="E26" s="155" t="s">
        <v>691</v>
      </c>
      <c r="F26" s="156" t="s">
        <v>692</v>
      </c>
      <c r="G26" s="156" t="s">
        <v>693</v>
      </c>
      <c r="H26" s="156"/>
      <c r="I26" s="156"/>
      <c r="J26" s="155">
        <v>1</v>
      </c>
      <c r="K26" s="157">
        <f>4178.01/10</f>
        <v>417.80100000000004</v>
      </c>
      <c r="L26" s="157">
        <f t="shared" si="0"/>
        <v>10307.150670000003</v>
      </c>
    </row>
    <row r="27" spans="1:12" x14ac:dyDescent="0.55000000000000004">
      <c r="A27" s="155" t="s">
        <v>694</v>
      </c>
      <c r="B27" s="155" t="s">
        <v>690</v>
      </c>
      <c r="C27" s="155" t="s">
        <v>652</v>
      </c>
      <c r="D27" s="155">
        <v>13895</v>
      </c>
      <c r="E27" s="155" t="s">
        <v>691</v>
      </c>
      <c r="F27" s="156" t="s">
        <v>695</v>
      </c>
      <c r="G27" s="156" t="s">
        <v>696</v>
      </c>
      <c r="H27" s="156"/>
      <c r="I27" s="156"/>
      <c r="J27" s="155">
        <v>1</v>
      </c>
      <c r="K27" s="157">
        <f t="shared" ref="K27:K35" si="3">4178.01/10</f>
        <v>417.80100000000004</v>
      </c>
      <c r="L27" s="157">
        <f t="shared" si="0"/>
        <v>10307.150670000003</v>
      </c>
    </row>
    <row r="28" spans="1:12" x14ac:dyDescent="0.55000000000000004">
      <c r="A28" s="155" t="s">
        <v>697</v>
      </c>
      <c r="B28" s="155" t="s">
        <v>690</v>
      </c>
      <c r="C28" s="155" t="s">
        <v>652</v>
      </c>
      <c r="D28" s="155">
        <v>13895</v>
      </c>
      <c r="E28" s="155" t="s">
        <v>691</v>
      </c>
      <c r="F28" s="156" t="s">
        <v>698</v>
      </c>
      <c r="G28" s="156" t="s">
        <v>699</v>
      </c>
      <c r="H28" s="156"/>
      <c r="I28" s="156"/>
      <c r="J28" s="155">
        <v>1</v>
      </c>
      <c r="K28" s="157">
        <f t="shared" si="3"/>
        <v>417.80100000000004</v>
      </c>
      <c r="L28" s="157">
        <f t="shared" si="0"/>
        <v>10307.150670000003</v>
      </c>
    </row>
    <row r="29" spans="1:12" x14ac:dyDescent="0.55000000000000004">
      <c r="A29" s="155" t="s">
        <v>700</v>
      </c>
      <c r="B29" s="155" t="s">
        <v>690</v>
      </c>
      <c r="C29" s="155" t="s">
        <v>652</v>
      </c>
      <c r="D29" s="155">
        <v>13895</v>
      </c>
      <c r="E29" s="155" t="s">
        <v>691</v>
      </c>
      <c r="F29" s="156" t="s">
        <v>701</v>
      </c>
      <c r="G29" s="156" t="s">
        <v>702</v>
      </c>
      <c r="H29" s="156"/>
      <c r="I29" s="156"/>
      <c r="J29" s="155">
        <v>1</v>
      </c>
      <c r="K29" s="157">
        <f t="shared" si="3"/>
        <v>417.80100000000004</v>
      </c>
      <c r="L29" s="157">
        <f t="shared" si="0"/>
        <v>10307.150670000003</v>
      </c>
    </row>
    <row r="30" spans="1:12" x14ac:dyDescent="0.55000000000000004">
      <c r="A30" s="155" t="s">
        <v>703</v>
      </c>
      <c r="B30" s="155" t="s">
        <v>690</v>
      </c>
      <c r="C30" s="155" t="s">
        <v>652</v>
      </c>
      <c r="D30" s="155">
        <v>13895</v>
      </c>
      <c r="E30" s="155" t="s">
        <v>691</v>
      </c>
      <c r="F30" s="156" t="s">
        <v>704</v>
      </c>
      <c r="G30" s="156" t="s">
        <v>705</v>
      </c>
      <c r="H30" s="156"/>
      <c r="I30" s="156"/>
      <c r="J30" s="155">
        <v>1</v>
      </c>
      <c r="K30" s="157">
        <f t="shared" si="3"/>
        <v>417.80100000000004</v>
      </c>
      <c r="L30" s="157">
        <f t="shared" si="0"/>
        <v>10307.150670000003</v>
      </c>
    </row>
    <row r="31" spans="1:12" x14ac:dyDescent="0.55000000000000004">
      <c r="A31" s="155" t="s">
        <v>706</v>
      </c>
      <c r="B31" s="155" t="s">
        <v>690</v>
      </c>
      <c r="C31" s="155" t="s">
        <v>652</v>
      </c>
      <c r="D31" s="155">
        <v>13895</v>
      </c>
      <c r="E31" s="155" t="s">
        <v>691</v>
      </c>
      <c r="F31" s="156" t="s">
        <v>707</v>
      </c>
      <c r="G31" s="156" t="s">
        <v>708</v>
      </c>
      <c r="H31" s="156"/>
      <c r="I31" s="156"/>
      <c r="J31" s="155">
        <v>1</v>
      </c>
      <c r="K31" s="157">
        <f t="shared" si="3"/>
        <v>417.80100000000004</v>
      </c>
      <c r="L31" s="157">
        <f t="shared" si="0"/>
        <v>10307.150670000003</v>
      </c>
    </row>
    <row r="32" spans="1:12" x14ac:dyDescent="0.55000000000000004">
      <c r="A32" s="155" t="s">
        <v>709</v>
      </c>
      <c r="B32" s="155" t="s">
        <v>690</v>
      </c>
      <c r="C32" s="155" t="s">
        <v>652</v>
      </c>
      <c r="D32" s="155">
        <v>13895</v>
      </c>
      <c r="E32" s="155" t="s">
        <v>691</v>
      </c>
      <c r="F32" s="156" t="s">
        <v>710</v>
      </c>
      <c r="G32" s="156" t="s">
        <v>711</v>
      </c>
      <c r="H32" s="156"/>
      <c r="I32" s="156"/>
      <c r="J32" s="155">
        <v>1</v>
      </c>
      <c r="K32" s="157">
        <f t="shared" si="3"/>
        <v>417.80100000000004</v>
      </c>
      <c r="L32" s="157">
        <f t="shared" si="0"/>
        <v>10307.150670000003</v>
      </c>
    </row>
    <row r="33" spans="1:12" x14ac:dyDescent="0.55000000000000004">
      <c r="A33" s="155" t="s">
        <v>712</v>
      </c>
      <c r="B33" s="155" t="s">
        <v>690</v>
      </c>
      <c r="C33" s="155" t="s">
        <v>652</v>
      </c>
      <c r="D33" s="155">
        <v>13895</v>
      </c>
      <c r="E33" s="155" t="s">
        <v>691</v>
      </c>
      <c r="F33" s="156" t="s">
        <v>713</v>
      </c>
      <c r="G33" s="156" t="s">
        <v>714</v>
      </c>
      <c r="H33" s="156"/>
      <c r="I33" s="156"/>
      <c r="J33" s="155">
        <v>1</v>
      </c>
      <c r="K33" s="157">
        <f t="shared" si="3"/>
        <v>417.80100000000004</v>
      </c>
      <c r="L33" s="157">
        <f t="shared" si="0"/>
        <v>10307.150670000003</v>
      </c>
    </row>
    <row r="34" spans="1:12" x14ac:dyDescent="0.55000000000000004">
      <c r="A34" s="155" t="s">
        <v>715</v>
      </c>
      <c r="B34" s="155" t="s">
        <v>690</v>
      </c>
      <c r="C34" s="155" t="s">
        <v>652</v>
      </c>
      <c r="D34" s="155">
        <v>13895</v>
      </c>
      <c r="E34" s="155" t="s">
        <v>691</v>
      </c>
      <c r="F34" s="156" t="s">
        <v>716</v>
      </c>
      <c r="G34" s="156" t="s">
        <v>717</v>
      </c>
      <c r="H34" s="156"/>
      <c r="I34" s="156"/>
      <c r="J34" s="155">
        <v>1</v>
      </c>
      <c r="K34" s="157">
        <f t="shared" si="3"/>
        <v>417.80100000000004</v>
      </c>
      <c r="L34" s="157">
        <f t="shared" si="0"/>
        <v>10307.150670000003</v>
      </c>
    </row>
    <row r="35" spans="1:12" x14ac:dyDescent="0.55000000000000004">
      <c r="A35" s="155" t="s">
        <v>718</v>
      </c>
      <c r="B35" s="155" t="s">
        <v>690</v>
      </c>
      <c r="C35" s="155" t="s">
        <v>652</v>
      </c>
      <c r="D35" s="155">
        <v>13895</v>
      </c>
      <c r="E35" s="155" t="s">
        <v>691</v>
      </c>
      <c r="F35" s="156" t="s">
        <v>719</v>
      </c>
      <c r="G35" s="156" t="s">
        <v>720</v>
      </c>
      <c r="H35" s="156"/>
      <c r="I35" s="156"/>
      <c r="J35" s="155">
        <v>1</v>
      </c>
      <c r="K35" s="157">
        <f t="shared" si="3"/>
        <v>417.80100000000004</v>
      </c>
      <c r="L35" s="157">
        <f t="shared" si="0"/>
        <v>10307.150670000003</v>
      </c>
    </row>
    <row r="36" spans="1:12" x14ac:dyDescent="0.55000000000000004">
      <c r="A36" s="155" t="s">
        <v>721</v>
      </c>
      <c r="B36" s="155" t="s">
        <v>690</v>
      </c>
      <c r="C36" s="155" t="s">
        <v>652</v>
      </c>
      <c r="D36" s="155">
        <v>13895</v>
      </c>
      <c r="E36" s="155" t="s">
        <v>691</v>
      </c>
      <c r="F36" s="156" t="s">
        <v>722</v>
      </c>
      <c r="G36" s="156" t="s">
        <v>723</v>
      </c>
      <c r="H36" s="156"/>
      <c r="I36" s="156"/>
      <c r="J36" s="155">
        <v>1</v>
      </c>
      <c r="K36" s="157">
        <f>1223.86/10</f>
        <v>122.386</v>
      </c>
      <c r="L36" s="157">
        <f t="shared" si="0"/>
        <v>3019.26262</v>
      </c>
    </row>
    <row r="37" spans="1:12" x14ac:dyDescent="0.55000000000000004">
      <c r="A37" s="155" t="s">
        <v>724</v>
      </c>
      <c r="B37" s="155" t="s">
        <v>690</v>
      </c>
      <c r="C37" s="155" t="s">
        <v>652</v>
      </c>
      <c r="D37" s="155">
        <v>13895</v>
      </c>
      <c r="E37" s="155" t="s">
        <v>691</v>
      </c>
      <c r="F37" s="156" t="s">
        <v>725</v>
      </c>
      <c r="G37" s="156" t="s">
        <v>726</v>
      </c>
      <c r="H37" s="156"/>
      <c r="I37" s="156"/>
      <c r="J37" s="155">
        <v>1</v>
      </c>
      <c r="K37" s="157">
        <f t="shared" ref="K37:K45" si="4">1223.86/10</f>
        <v>122.386</v>
      </c>
      <c r="L37" s="157">
        <f t="shared" si="0"/>
        <v>3019.26262</v>
      </c>
    </row>
    <row r="38" spans="1:12" x14ac:dyDescent="0.55000000000000004">
      <c r="A38" s="155" t="s">
        <v>727</v>
      </c>
      <c r="B38" s="155" t="s">
        <v>690</v>
      </c>
      <c r="C38" s="155" t="s">
        <v>652</v>
      </c>
      <c r="D38" s="155">
        <v>13895</v>
      </c>
      <c r="E38" s="155" t="s">
        <v>691</v>
      </c>
      <c r="F38" s="156" t="s">
        <v>728</v>
      </c>
      <c r="G38" s="156" t="s">
        <v>729</v>
      </c>
      <c r="H38" s="156"/>
      <c r="I38" s="156"/>
      <c r="J38" s="155">
        <v>1</v>
      </c>
      <c r="K38" s="157">
        <f t="shared" si="4"/>
        <v>122.386</v>
      </c>
      <c r="L38" s="157">
        <f t="shared" si="0"/>
        <v>3019.26262</v>
      </c>
    </row>
    <row r="39" spans="1:12" x14ac:dyDescent="0.55000000000000004">
      <c r="A39" s="155" t="s">
        <v>730</v>
      </c>
      <c r="B39" s="155" t="s">
        <v>690</v>
      </c>
      <c r="C39" s="155" t="s">
        <v>652</v>
      </c>
      <c r="D39" s="155">
        <v>13895</v>
      </c>
      <c r="E39" s="155" t="s">
        <v>691</v>
      </c>
      <c r="F39" s="156" t="s">
        <v>731</v>
      </c>
      <c r="G39" s="156" t="s">
        <v>732</v>
      </c>
      <c r="H39" s="156"/>
      <c r="I39" s="156"/>
      <c r="J39" s="155">
        <v>1</v>
      </c>
      <c r="K39" s="157">
        <f t="shared" si="4"/>
        <v>122.386</v>
      </c>
      <c r="L39" s="157">
        <f t="shared" si="0"/>
        <v>3019.26262</v>
      </c>
    </row>
    <row r="40" spans="1:12" x14ac:dyDescent="0.55000000000000004">
      <c r="A40" s="155" t="s">
        <v>733</v>
      </c>
      <c r="B40" s="155" t="s">
        <v>690</v>
      </c>
      <c r="C40" s="155" t="s">
        <v>652</v>
      </c>
      <c r="D40" s="155">
        <v>13895</v>
      </c>
      <c r="E40" s="155" t="s">
        <v>691</v>
      </c>
      <c r="F40" s="156" t="s">
        <v>734</v>
      </c>
      <c r="G40" s="156" t="s">
        <v>735</v>
      </c>
      <c r="H40" s="156"/>
      <c r="I40" s="156"/>
      <c r="J40" s="155">
        <v>1</v>
      </c>
      <c r="K40" s="157">
        <f t="shared" si="4"/>
        <v>122.386</v>
      </c>
      <c r="L40" s="157">
        <f t="shared" si="0"/>
        <v>3019.26262</v>
      </c>
    </row>
    <row r="41" spans="1:12" x14ac:dyDescent="0.55000000000000004">
      <c r="A41" s="155" t="s">
        <v>736</v>
      </c>
      <c r="B41" s="155" t="s">
        <v>690</v>
      </c>
      <c r="C41" s="155" t="s">
        <v>652</v>
      </c>
      <c r="D41" s="155">
        <v>13895</v>
      </c>
      <c r="E41" s="155" t="s">
        <v>691</v>
      </c>
      <c r="F41" s="156" t="s">
        <v>737</v>
      </c>
      <c r="G41" s="156" t="s">
        <v>738</v>
      </c>
      <c r="H41" s="156"/>
      <c r="I41" s="156"/>
      <c r="J41" s="155">
        <v>1</v>
      </c>
      <c r="K41" s="157">
        <f t="shared" si="4"/>
        <v>122.386</v>
      </c>
      <c r="L41" s="157">
        <f t="shared" si="0"/>
        <v>3019.26262</v>
      </c>
    </row>
    <row r="42" spans="1:12" x14ac:dyDescent="0.55000000000000004">
      <c r="A42" s="155" t="s">
        <v>739</v>
      </c>
      <c r="B42" s="155" t="s">
        <v>690</v>
      </c>
      <c r="C42" s="155" t="s">
        <v>652</v>
      </c>
      <c r="D42" s="155">
        <v>13895</v>
      </c>
      <c r="E42" s="155" t="s">
        <v>691</v>
      </c>
      <c r="F42" s="156" t="s">
        <v>740</v>
      </c>
      <c r="G42" s="156" t="s">
        <v>741</v>
      </c>
      <c r="H42" s="156"/>
      <c r="I42" s="156"/>
      <c r="J42" s="155">
        <v>1</v>
      </c>
      <c r="K42" s="157">
        <f t="shared" si="4"/>
        <v>122.386</v>
      </c>
      <c r="L42" s="157">
        <f t="shared" si="0"/>
        <v>3019.26262</v>
      </c>
    </row>
    <row r="43" spans="1:12" x14ac:dyDescent="0.55000000000000004">
      <c r="A43" s="155" t="s">
        <v>742</v>
      </c>
      <c r="B43" s="155" t="s">
        <v>690</v>
      </c>
      <c r="C43" s="155" t="s">
        <v>652</v>
      </c>
      <c r="D43" s="155">
        <v>13895</v>
      </c>
      <c r="E43" s="155" t="s">
        <v>691</v>
      </c>
      <c r="F43" s="156" t="s">
        <v>743</v>
      </c>
      <c r="G43" s="156" t="s">
        <v>744</v>
      </c>
      <c r="H43" s="156"/>
      <c r="I43" s="156"/>
      <c r="J43" s="155">
        <v>1</v>
      </c>
      <c r="K43" s="157">
        <f t="shared" si="4"/>
        <v>122.386</v>
      </c>
      <c r="L43" s="157">
        <f t="shared" si="0"/>
        <v>3019.26262</v>
      </c>
    </row>
    <row r="44" spans="1:12" x14ac:dyDescent="0.55000000000000004">
      <c r="A44" s="155" t="s">
        <v>745</v>
      </c>
      <c r="B44" s="155" t="s">
        <v>690</v>
      </c>
      <c r="C44" s="155" t="s">
        <v>652</v>
      </c>
      <c r="D44" s="155">
        <v>13895</v>
      </c>
      <c r="E44" s="155" t="s">
        <v>691</v>
      </c>
      <c r="F44" s="156" t="s">
        <v>746</v>
      </c>
      <c r="G44" s="156" t="s">
        <v>747</v>
      </c>
      <c r="H44" s="156"/>
      <c r="I44" s="156"/>
      <c r="J44" s="155">
        <v>1</v>
      </c>
      <c r="K44" s="157">
        <f t="shared" si="4"/>
        <v>122.386</v>
      </c>
      <c r="L44" s="157">
        <f t="shared" si="0"/>
        <v>3019.26262</v>
      </c>
    </row>
    <row r="45" spans="1:12" x14ac:dyDescent="0.55000000000000004">
      <c r="A45" s="155" t="s">
        <v>748</v>
      </c>
      <c r="B45" s="155" t="s">
        <v>690</v>
      </c>
      <c r="C45" s="155" t="s">
        <v>652</v>
      </c>
      <c r="D45" s="155">
        <v>13895</v>
      </c>
      <c r="E45" s="155" t="s">
        <v>691</v>
      </c>
      <c r="F45" s="156" t="s">
        <v>749</v>
      </c>
      <c r="G45" s="156" t="s">
        <v>750</v>
      </c>
      <c r="H45" s="156"/>
      <c r="I45" s="156"/>
      <c r="J45" s="155">
        <v>1</v>
      </c>
      <c r="K45" s="157">
        <f t="shared" si="4"/>
        <v>122.386</v>
      </c>
      <c r="L45" s="157">
        <f t="shared" si="0"/>
        <v>3019.26262</v>
      </c>
    </row>
    <row r="46" spans="1:12" x14ac:dyDescent="0.55000000000000004">
      <c r="A46" s="155" t="s">
        <v>751</v>
      </c>
      <c r="B46" s="155" t="s">
        <v>690</v>
      </c>
      <c r="C46" s="155" t="s">
        <v>652</v>
      </c>
      <c r="D46" s="155">
        <v>13895</v>
      </c>
      <c r="E46" s="155" t="s">
        <v>691</v>
      </c>
      <c r="F46" s="156" t="s">
        <v>752</v>
      </c>
      <c r="G46" s="156" t="s">
        <v>753</v>
      </c>
      <c r="H46" s="156"/>
      <c r="I46" s="156"/>
      <c r="J46" s="155">
        <v>1</v>
      </c>
      <c r="K46" s="157">
        <f>2924.6/7</f>
        <v>417.8</v>
      </c>
      <c r="L46" s="157">
        <f t="shared" si="0"/>
        <v>10307.126</v>
      </c>
    </row>
    <row r="47" spans="1:12" x14ac:dyDescent="0.55000000000000004">
      <c r="A47" s="155" t="s">
        <v>754</v>
      </c>
      <c r="B47" s="155" t="s">
        <v>690</v>
      </c>
      <c r="C47" s="155" t="s">
        <v>652</v>
      </c>
      <c r="D47" s="155">
        <v>13895</v>
      </c>
      <c r="E47" s="155" t="s">
        <v>691</v>
      </c>
      <c r="F47" s="156" t="s">
        <v>752</v>
      </c>
      <c r="G47" s="156" t="s">
        <v>755</v>
      </c>
      <c r="H47" s="156"/>
      <c r="I47" s="156"/>
      <c r="J47" s="155">
        <v>1</v>
      </c>
      <c r="K47" s="157">
        <f t="shared" ref="K47:K52" si="5">2924.6/7</f>
        <v>417.8</v>
      </c>
      <c r="L47" s="157">
        <f t="shared" si="0"/>
        <v>10307.126</v>
      </c>
    </row>
    <row r="48" spans="1:12" x14ac:dyDescent="0.55000000000000004">
      <c r="A48" s="155" t="s">
        <v>756</v>
      </c>
      <c r="B48" s="155" t="s">
        <v>690</v>
      </c>
      <c r="C48" s="155" t="s">
        <v>652</v>
      </c>
      <c r="D48" s="155">
        <v>13895</v>
      </c>
      <c r="E48" s="155" t="s">
        <v>691</v>
      </c>
      <c r="F48" s="156" t="s">
        <v>752</v>
      </c>
      <c r="G48" s="156" t="s">
        <v>757</v>
      </c>
      <c r="H48" s="156"/>
      <c r="I48" s="156"/>
      <c r="J48" s="155">
        <v>1</v>
      </c>
      <c r="K48" s="157">
        <f t="shared" si="5"/>
        <v>417.8</v>
      </c>
      <c r="L48" s="157">
        <f t="shared" si="0"/>
        <v>10307.126</v>
      </c>
    </row>
    <row r="49" spans="1:12" x14ac:dyDescent="0.55000000000000004">
      <c r="A49" s="155" t="s">
        <v>758</v>
      </c>
      <c r="B49" s="155" t="s">
        <v>690</v>
      </c>
      <c r="C49" s="155" t="s">
        <v>652</v>
      </c>
      <c r="D49" s="155">
        <v>13895</v>
      </c>
      <c r="E49" s="155" t="s">
        <v>691</v>
      </c>
      <c r="F49" s="156" t="s">
        <v>752</v>
      </c>
      <c r="G49" s="156" t="s">
        <v>759</v>
      </c>
      <c r="H49" s="156"/>
      <c r="I49" s="156"/>
      <c r="J49" s="155">
        <v>1</v>
      </c>
      <c r="K49" s="157">
        <f t="shared" si="5"/>
        <v>417.8</v>
      </c>
      <c r="L49" s="157">
        <f t="shared" si="0"/>
        <v>10307.126</v>
      </c>
    </row>
    <row r="50" spans="1:12" x14ac:dyDescent="0.55000000000000004">
      <c r="A50" s="155" t="s">
        <v>760</v>
      </c>
      <c r="B50" s="155" t="s">
        <v>690</v>
      </c>
      <c r="C50" s="155" t="s">
        <v>652</v>
      </c>
      <c r="D50" s="155">
        <v>13895</v>
      </c>
      <c r="E50" s="155" t="s">
        <v>691</v>
      </c>
      <c r="F50" s="156" t="s">
        <v>752</v>
      </c>
      <c r="G50" s="156" t="s">
        <v>761</v>
      </c>
      <c r="H50" s="156"/>
      <c r="I50" s="156"/>
      <c r="J50" s="155">
        <v>1</v>
      </c>
      <c r="K50" s="157">
        <f t="shared" si="5"/>
        <v>417.8</v>
      </c>
      <c r="L50" s="157">
        <f t="shared" si="0"/>
        <v>10307.126</v>
      </c>
    </row>
    <row r="51" spans="1:12" x14ac:dyDescent="0.55000000000000004">
      <c r="A51" s="155" t="s">
        <v>762</v>
      </c>
      <c r="B51" s="155" t="s">
        <v>690</v>
      </c>
      <c r="C51" s="155" t="s">
        <v>652</v>
      </c>
      <c r="D51" s="155">
        <v>13895</v>
      </c>
      <c r="E51" s="155" t="s">
        <v>691</v>
      </c>
      <c r="F51" s="156" t="s">
        <v>752</v>
      </c>
      <c r="G51" s="156" t="s">
        <v>763</v>
      </c>
      <c r="H51" s="156"/>
      <c r="I51" s="156"/>
      <c r="J51" s="155">
        <v>1</v>
      </c>
      <c r="K51" s="157">
        <f t="shared" si="5"/>
        <v>417.8</v>
      </c>
      <c r="L51" s="157">
        <f t="shared" si="0"/>
        <v>10307.126</v>
      </c>
    </row>
    <row r="52" spans="1:12" x14ac:dyDescent="0.55000000000000004">
      <c r="A52" s="155" t="s">
        <v>764</v>
      </c>
      <c r="B52" s="155" t="s">
        <v>690</v>
      </c>
      <c r="C52" s="155" t="s">
        <v>652</v>
      </c>
      <c r="D52" s="155">
        <v>13895</v>
      </c>
      <c r="E52" s="155" t="s">
        <v>691</v>
      </c>
      <c r="F52" s="156" t="s">
        <v>752</v>
      </c>
      <c r="G52" s="156" t="s">
        <v>765</v>
      </c>
      <c r="H52" s="156"/>
      <c r="I52" s="156"/>
      <c r="J52" s="155">
        <v>1</v>
      </c>
      <c r="K52" s="157">
        <f t="shared" si="5"/>
        <v>417.8</v>
      </c>
      <c r="L52" s="157">
        <f t="shared" si="0"/>
        <v>10307.126</v>
      </c>
    </row>
    <row r="53" spans="1:12" x14ac:dyDescent="0.55000000000000004">
      <c r="A53" s="155" t="s">
        <v>766</v>
      </c>
      <c r="B53" s="155" t="s">
        <v>690</v>
      </c>
      <c r="C53" s="155" t="s">
        <v>767</v>
      </c>
      <c r="D53" s="155">
        <v>14377</v>
      </c>
      <c r="E53" s="155" t="s">
        <v>768</v>
      </c>
      <c r="F53" s="156" t="s">
        <v>769</v>
      </c>
      <c r="G53" s="156" t="s">
        <v>770</v>
      </c>
      <c r="H53" s="156"/>
      <c r="I53" s="156"/>
      <c r="J53" s="155">
        <v>1</v>
      </c>
      <c r="K53" s="157">
        <f>682.28/3</f>
        <v>227.42666666666665</v>
      </c>
      <c r="L53" s="157">
        <f t="shared" si="0"/>
        <v>5610.615866666667</v>
      </c>
    </row>
    <row r="54" spans="1:12" x14ac:dyDescent="0.55000000000000004">
      <c r="A54" s="155" t="s">
        <v>771</v>
      </c>
      <c r="B54" s="155" t="s">
        <v>690</v>
      </c>
      <c r="C54" s="155" t="s">
        <v>767</v>
      </c>
      <c r="D54" s="155">
        <v>14377</v>
      </c>
      <c r="E54" s="155" t="s">
        <v>768</v>
      </c>
      <c r="F54" s="156" t="s">
        <v>769</v>
      </c>
      <c r="G54" s="156" t="s">
        <v>772</v>
      </c>
      <c r="H54" s="156"/>
      <c r="I54" s="156"/>
      <c r="J54" s="155">
        <v>1</v>
      </c>
      <c r="K54" s="157">
        <f t="shared" ref="K54:K55" si="6">682.28/3</f>
        <v>227.42666666666665</v>
      </c>
      <c r="L54" s="157">
        <f t="shared" si="0"/>
        <v>5610.615866666667</v>
      </c>
    </row>
    <row r="55" spans="1:12" x14ac:dyDescent="0.55000000000000004">
      <c r="A55" s="155" t="s">
        <v>773</v>
      </c>
      <c r="B55" s="155" t="s">
        <v>690</v>
      </c>
      <c r="C55" s="155" t="s">
        <v>767</v>
      </c>
      <c r="D55" s="155">
        <v>14377</v>
      </c>
      <c r="E55" s="155" t="s">
        <v>768</v>
      </c>
      <c r="F55" s="156" t="s">
        <v>769</v>
      </c>
      <c r="G55" s="156" t="s">
        <v>774</v>
      </c>
      <c r="H55" s="156"/>
      <c r="I55" s="156"/>
      <c r="J55" s="155">
        <v>1</v>
      </c>
      <c r="K55" s="157">
        <f t="shared" si="6"/>
        <v>227.42666666666665</v>
      </c>
      <c r="L55" s="157">
        <f t="shared" si="0"/>
        <v>5610.615866666667</v>
      </c>
    </row>
    <row r="56" spans="1:12" s="154" customFormat="1" x14ac:dyDescent="0.55000000000000004">
      <c r="A56" s="150" t="s">
        <v>775</v>
      </c>
      <c r="B56" s="150" t="s">
        <v>690</v>
      </c>
      <c r="C56" s="150" t="s">
        <v>675</v>
      </c>
      <c r="D56" s="150">
        <v>14728</v>
      </c>
      <c r="E56" s="150" t="s">
        <v>776</v>
      </c>
      <c r="F56" s="151" t="s">
        <v>777</v>
      </c>
      <c r="G56" s="151" t="s">
        <v>778</v>
      </c>
      <c r="H56" s="151"/>
      <c r="I56" s="151" t="s">
        <v>779</v>
      </c>
      <c r="J56" s="150">
        <v>1</v>
      </c>
      <c r="K56" s="152">
        <f>3661.69/2</f>
        <v>1830.845</v>
      </c>
      <c r="L56" s="152">
        <f t="shared" si="0"/>
        <v>45166.946150000003</v>
      </c>
    </row>
    <row r="57" spans="1:12" s="154" customFormat="1" x14ac:dyDescent="0.55000000000000004">
      <c r="A57" s="150" t="s">
        <v>780</v>
      </c>
      <c r="B57" s="150" t="s">
        <v>690</v>
      </c>
      <c r="C57" s="150" t="s">
        <v>675</v>
      </c>
      <c r="D57" s="150">
        <v>14728</v>
      </c>
      <c r="E57" s="150" t="s">
        <v>776</v>
      </c>
      <c r="F57" s="151" t="s">
        <v>777</v>
      </c>
      <c r="G57" s="151" t="s">
        <v>781</v>
      </c>
      <c r="H57" s="151"/>
      <c r="I57" s="151" t="s">
        <v>782</v>
      </c>
      <c r="J57" s="150">
        <v>1</v>
      </c>
      <c r="K57" s="152">
        <f>3661.69/2</f>
        <v>1830.845</v>
      </c>
      <c r="L57" s="152">
        <f t="shared" si="0"/>
        <v>45166.946150000003</v>
      </c>
    </row>
    <row r="58" spans="1:12" x14ac:dyDescent="0.55000000000000004">
      <c r="A58" s="155" t="s">
        <v>783</v>
      </c>
      <c r="B58" s="155" t="s">
        <v>784</v>
      </c>
      <c r="C58" s="155" t="s">
        <v>652</v>
      </c>
      <c r="D58" s="155">
        <v>13902</v>
      </c>
      <c r="E58" s="155" t="s">
        <v>653</v>
      </c>
      <c r="F58" s="156" t="s">
        <v>785</v>
      </c>
      <c r="G58" s="156" t="s">
        <v>786</v>
      </c>
      <c r="H58" s="156"/>
      <c r="I58" s="156"/>
      <c r="J58" s="155">
        <v>1</v>
      </c>
      <c r="K58" s="157">
        <v>600.30999999999995</v>
      </c>
      <c r="L58" s="157">
        <f t="shared" si="0"/>
        <v>14809.6477</v>
      </c>
    </row>
    <row r="59" spans="1:12" x14ac:dyDescent="0.55000000000000004">
      <c r="A59" s="155" t="s">
        <v>787</v>
      </c>
      <c r="B59" s="155" t="s">
        <v>784</v>
      </c>
      <c r="C59" s="155" t="s">
        <v>652</v>
      </c>
      <c r="D59" s="155">
        <v>13902</v>
      </c>
      <c r="E59" s="155" t="s">
        <v>653</v>
      </c>
      <c r="F59" s="156" t="s">
        <v>788</v>
      </c>
      <c r="G59" s="156" t="s">
        <v>789</v>
      </c>
      <c r="H59" s="156"/>
      <c r="I59" s="156"/>
      <c r="J59" s="155">
        <v>1</v>
      </c>
      <c r="K59" s="157">
        <v>600.30999999999995</v>
      </c>
      <c r="L59" s="157">
        <f t="shared" si="0"/>
        <v>14809.6477</v>
      </c>
    </row>
    <row r="60" spans="1:12" x14ac:dyDescent="0.55000000000000004">
      <c r="A60" s="155" t="s">
        <v>790</v>
      </c>
      <c r="B60" s="155" t="s">
        <v>791</v>
      </c>
      <c r="C60" s="155" t="s">
        <v>792</v>
      </c>
      <c r="D60" s="155">
        <v>12812</v>
      </c>
      <c r="E60" s="155" t="s">
        <v>793</v>
      </c>
      <c r="F60" s="156" t="s">
        <v>794</v>
      </c>
      <c r="G60" s="156" t="s">
        <v>795</v>
      </c>
      <c r="H60" s="156"/>
      <c r="I60" s="156"/>
      <c r="J60" s="155">
        <v>1</v>
      </c>
      <c r="K60" s="157">
        <v>139</v>
      </c>
      <c r="L60" s="157">
        <f t="shared" si="0"/>
        <v>3429.13</v>
      </c>
    </row>
    <row r="61" spans="1:12" x14ac:dyDescent="0.55000000000000004">
      <c r="A61" s="155" t="s">
        <v>796</v>
      </c>
      <c r="B61" s="155" t="s">
        <v>797</v>
      </c>
      <c r="C61" s="155" t="s">
        <v>798</v>
      </c>
      <c r="D61" s="155">
        <v>14561</v>
      </c>
      <c r="E61" s="155" t="s">
        <v>799</v>
      </c>
      <c r="F61" s="156" t="s">
        <v>800</v>
      </c>
      <c r="G61" s="156" t="s">
        <v>801</v>
      </c>
      <c r="H61" s="156"/>
      <c r="I61" s="156"/>
      <c r="J61" s="155">
        <v>1</v>
      </c>
      <c r="K61" s="157">
        <v>569.54</v>
      </c>
      <c r="L61" s="157">
        <f t="shared" si="0"/>
        <v>14050.551799999999</v>
      </c>
    </row>
    <row r="62" spans="1:12" x14ac:dyDescent="0.55000000000000004">
      <c r="A62" s="155" t="s">
        <v>802</v>
      </c>
      <c r="B62" s="155" t="s">
        <v>797</v>
      </c>
      <c r="C62" s="155" t="s">
        <v>792</v>
      </c>
      <c r="D62" s="155">
        <v>12790</v>
      </c>
      <c r="E62" s="155" t="s">
        <v>803</v>
      </c>
      <c r="F62" s="156" t="s">
        <v>804</v>
      </c>
      <c r="G62" s="156" t="s">
        <v>805</v>
      </c>
      <c r="H62" s="156"/>
      <c r="I62" s="156"/>
      <c r="J62" s="155">
        <v>1</v>
      </c>
      <c r="K62" s="157">
        <v>66.3</v>
      </c>
      <c r="L62" s="157">
        <f t="shared" si="0"/>
        <v>1635.6210000000001</v>
      </c>
    </row>
    <row r="63" spans="1:12" x14ac:dyDescent="0.55000000000000004">
      <c r="A63" s="155" t="s">
        <v>806</v>
      </c>
      <c r="B63" s="155" t="s">
        <v>797</v>
      </c>
      <c r="C63" s="155" t="s">
        <v>807</v>
      </c>
      <c r="D63" s="155">
        <v>13161</v>
      </c>
      <c r="E63" s="155" t="s">
        <v>808</v>
      </c>
      <c r="F63" s="156" t="s">
        <v>809</v>
      </c>
      <c r="G63" s="156" t="s">
        <v>810</v>
      </c>
      <c r="H63" s="156"/>
      <c r="I63" s="156"/>
      <c r="J63" s="155">
        <v>1</v>
      </c>
      <c r="K63" s="157">
        <v>314.8</v>
      </c>
      <c r="L63" s="157">
        <f t="shared" si="0"/>
        <v>7766.1160000000009</v>
      </c>
    </row>
    <row r="64" spans="1:12" x14ac:dyDescent="0.55000000000000004">
      <c r="A64" s="155" t="s">
        <v>811</v>
      </c>
      <c r="B64" s="155" t="s">
        <v>797</v>
      </c>
      <c r="C64" s="155" t="s">
        <v>798</v>
      </c>
      <c r="D64" s="155">
        <v>14561</v>
      </c>
      <c r="E64" s="155" t="s">
        <v>799</v>
      </c>
      <c r="F64" s="156" t="s">
        <v>812</v>
      </c>
      <c r="G64" s="156" t="s">
        <v>813</v>
      </c>
      <c r="H64" s="156"/>
      <c r="I64" s="156"/>
      <c r="J64" s="155">
        <v>1</v>
      </c>
      <c r="K64" s="157">
        <f>902.82/2</f>
        <v>451.41</v>
      </c>
      <c r="L64" s="157">
        <f t="shared" si="0"/>
        <v>11136.284700000002</v>
      </c>
    </row>
    <row r="65" spans="1:12" x14ac:dyDescent="0.55000000000000004">
      <c r="A65" s="155" t="s">
        <v>814</v>
      </c>
      <c r="B65" s="155" t="s">
        <v>797</v>
      </c>
      <c r="C65" s="155" t="s">
        <v>798</v>
      </c>
      <c r="D65" s="155">
        <v>14561</v>
      </c>
      <c r="E65" s="155" t="s">
        <v>799</v>
      </c>
      <c r="F65" s="156" t="s">
        <v>812</v>
      </c>
      <c r="G65" s="156" t="s">
        <v>815</v>
      </c>
      <c r="H65" s="156"/>
      <c r="I65" s="156"/>
      <c r="J65" s="155">
        <v>1</v>
      </c>
      <c r="K65" s="157">
        <f>902.82/2</f>
        <v>451.41</v>
      </c>
      <c r="L65" s="157">
        <f t="shared" si="0"/>
        <v>11136.284700000002</v>
      </c>
    </row>
    <row r="66" spans="1:12" x14ac:dyDescent="0.55000000000000004">
      <c r="A66" s="155" t="s">
        <v>816</v>
      </c>
      <c r="B66" s="155" t="s">
        <v>797</v>
      </c>
      <c r="C66" s="155" t="s">
        <v>798</v>
      </c>
      <c r="D66" s="155">
        <v>14561</v>
      </c>
      <c r="E66" s="155" t="s">
        <v>799</v>
      </c>
      <c r="F66" s="156" t="s">
        <v>817</v>
      </c>
      <c r="G66" s="156" t="s">
        <v>818</v>
      </c>
      <c r="H66" s="156"/>
      <c r="I66" s="156"/>
      <c r="J66" s="155">
        <v>1</v>
      </c>
      <c r="K66" s="157">
        <f>1721.88/6</f>
        <v>286.98</v>
      </c>
      <c r="L66" s="157">
        <f t="shared" si="0"/>
        <v>7079.7966000000006</v>
      </c>
    </row>
    <row r="67" spans="1:12" x14ac:dyDescent="0.55000000000000004">
      <c r="A67" s="155" t="s">
        <v>819</v>
      </c>
      <c r="B67" s="155" t="s">
        <v>797</v>
      </c>
      <c r="C67" s="155" t="s">
        <v>798</v>
      </c>
      <c r="D67" s="155">
        <v>14561</v>
      </c>
      <c r="E67" s="155" t="s">
        <v>799</v>
      </c>
      <c r="F67" s="156" t="s">
        <v>817</v>
      </c>
      <c r="G67" s="156" t="s">
        <v>820</v>
      </c>
      <c r="H67" s="156"/>
      <c r="I67" s="156"/>
      <c r="J67" s="155">
        <v>1</v>
      </c>
      <c r="K67" s="157">
        <f t="shared" ref="K67:K71" si="7">1721.88/6</f>
        <v>286.98</v>
      </c>
      <c r="L67" s="157">
        <f t="shared" si="0"/>
        <v>7079.7966000000006</v>
      </c>
    </row>
    <row r="68" spans="1:12" x14ac:dyDescent="0.55000000000000004">
      <c r="A68" s="155" t="s">
        <v>821</v>
      </c>
      <c r="B68" s="155" t="s">
        <v>797</v>
      </c>
      <c r="C68" s="155" t="s">
        <v>798</v>
      </c>
      <c r="D68" s="155">
        <v>14561</v>
      </c>
      <c r="E68" s="155" t="s">
        <v>799</v>
      </c>
      <c r="F68" s="156" t="s">
        <v>817</v>
      </c>
      <c r="G68" s="156" t="s">
        <v>822</v>
      </c>
      <c r="H68" s="156"/>
      <c r="I68" s="156"/>
      <c r="J68" s="155">
        <v>1</v>
      </c>
      <c r="K68" s="157">
        <f t="shared" si="7"/>
        <v>286.98</v>
      </c>
      <c r="L68" s="157">
        <f t="shared" si="0"/>
        <v>7079.7966000000006</v>
      </c>
    </row>
    <row r="69" spans="1:12" x14ac:dyDescent="0.55000000000000004">
      <c r="A69" s="155" t="s">
        <v>823</v>
      </c>
      <c r="B69" s="155" t="s">
        <v>797</v>
      </c>
      <c r="C69" s="155" t="s">
        <v>798</v>
      </c>
      <c r="D69" s="155">
        <v>14561</v>
      </c>
      <c r="E69" s="155" t="s">
        <v>799</v>
      </c>
      <c r="F69" s="156" t="s">
        <v>817</v>
      </c>
      <c r="G69" s="156" t="s">
        <v>824</v>
      </c>
      <c r="H69" s="156"/>
      <c r="I69" s="156"/>
      <c r="J69" s="155">
        <v>1</v>
      </c>
      <c r="K69" s="157">
        <f t="shared" si="7"/>
        <v>286.98</v>
      </c>
      <c r="L69" s="157">
        <f t="shared" si="0"/>
        <v>7079.7966000000006</v>
      </c>
    </row>
    <row r="70" spans="1:12" x14ac:dyDescent="0.55000000000000004">
      <c r="A70" s="155" t="s">
        <v>825</v>
      </c>
      <c r="B70" s="155" t="s">
        <v>797</v>
      </c>
      <c r="C70" s="155" t="s">
        <v>798</v>
      </c>
      <c r="D70" s="155">
        <v>14561</v>
      </c>
      <c r="E70" s="155" t="s">
        <v>799</v>
      </c>
      <c r="F70" s="156" t="s">
        <v>817</v>
      </c>
      <c r="G70" s="156" t="s">
        <v>826</v>
      </c>
      <c r="H70" s="156"/>
      <c r="I70" s="156"/>
      <c r="J70" s="155">
        <v>1</v>
      </c>
      <c r="K70" s="157">
        <f t="shared" si="7"/>
        <v>286.98</v>
      </c>
      <c r="L70" s="157">
        <f t="shared" si="0"/>
        <v>7079.7966000000006</v>
      </c>
    </row>
    <row r="71" spans="1:12" x14ac:dyDescent="0.55000000000000004">
      <c r="A71" s="155" t="s">
        <v>827</v>
      </c>
      <c r="B71" s="155" t="s">
        <v>797</v>
      </c>
      <c r="C71" s="155" t="s">
        <v>798</v>
      </c>
      <c r="D71" s="155">
        <v>14561</v>
      </c>
      <c r="E71" s="155" t="s">
        <v>799</v>
      </c>
      <c r="F71" s="156" t="s">
        <v>817</v>
      </c>
      <c r="G71" s="156" t="s">
        <v>828</v>
      </c>
      <c r="H71" s="156"/>
      <c r="I71" s="156"/>
      <c r="J71" s="155">
        <v>1</v>
      </c>
      <c r="K71" s="157">
        <f t="shared" si="7"/>
        <v>286.98</v>
      </c>
      <c r="L71" s="157">
        <f t="shared" ref="L71:L118" si="8">+K71*$K$5</f>
        <v>7079.7966000000006</v>
      </c>
    </row>
    <row r="72" spans="1:12" x14ac:dyDescent="0.55000000000000004">
      <c r="A72" s="155" t="s">
        <v>829</v>
      </c>
      <c r="B72" s="155" t="s">
        <v>797</v>
      </c>
      <c r="C72" s="155" t="s">
        <v>675</v>
      </c>
      <c r="D72" s="155">
        <v>14701</v>
      </c>
      <c r="E72" s="155" t="s">
        <v>830</v>
      </c>
      <c r="F72" s="156" t="s">
        <v>831</v>
      </c>
      <c r="G72" s="156" t="s">
        <v>832</v>
      </c>
      <c r="H72" s="156"/>
      <c r="I72" s="156"/>
      <c r="J72" s="155">
        <v>1</v>
      </c>
      <c r="K72" s="157">
        <f>2198.85/3</f>
        <v>732.94999999999993</v>
      </c>
      <c r="L72" s="157">
        <f t="shared" si="8"/>
        <v>18081.876499999998</v>
      </c>
    </row>
    <row r="73" spans="1:12" x14ac:dyDescent="0.55000000000000004">
      <c r="A73" s="155" t="s">
        <v>833</v>
      </c>
      <c r="B73" s="155" t="s">
        <v>797</v>
      </c>
      <c r="C73" s="155" t="s">
        <v>675</v>
      </c>
      <c r="D73" s="155">
        <v>14701</v>
      </c>
      <c r="E73" s="155" t="s">
        <v>830</v>
      </c>
      <c r="F73" s="156" t="s">
        <v>831</v>
      </c>
      <c r="G73" s="156" t="s">
        <v>834</v>
      </c>
      <c r="H73" s="156"/>
      <c r="I73" s="156"/>
      <c r="J73" s="155">
        <v>1</v>
      </c>
      <c r="K73" s="157">
        <f t="shared" ref="K73:K74" si="9">2198.85/3</f>
        <v>732.94999999999993</v>
      </c>
      <c r="L73" s="157">
        <f t="shared" si="8"/>
        <v>18081.876499999998</v>
      </c>
    </row>
    <row r="74" spans="1:12" x14ac:dyDescent="0.55000000000000004">
      <c r="A74" s="155" t="s">
        <v>835</v>
      </c>
      <c r="B74" s="155" t="s">
        <v>797</v>
      </c>
      <c r="C74" s="155" t="s">
        <v>675</v>
      </c>
      <c r="D74" s="155">
        <v>14701</v>
      </c>
      <c r="E74" s="155" t="s">
        <v>830</v>
      </c>
      <c r="F74" s="156" t="s">
        <v>831</v>
      </c>
      <c r="G74" s="156" t="s">
        <v>836</v>
      </c>
      <c r="H74" s="156"/>
      <c r="I74" s="156"/>
      <c r="J74" s="155">
        <v>1</v>
      </c>
      <c r="K74" s="157">
        <f t="shared" si="9"/>
        <v>732.94999999999993</v>
      </c>
      <c r="L74" s="157">
        <f t="shared" si="8"/>
        <v>18081.876499999998</v>
      </c>
    </row>
    <row r="75" spans="1:12" x14ac:dyDescent="0.55000000000000004">
      <c r="A75" s="155" t="s">
        <v>837</v>
      </c>
      <c r="B75" s="155" t="s">
        <v>797</v>
      </c>
      <c r="C75" s="155" t="s">
        <v>675</v>
      </c>
      <c r="D75" s="155">
        <v>14701</v>
      </c>
      <c r="E75" s="155" t="s">
        <v>830</v>
      </c>
      <c r="F75" s="156" t="s">
        <v>838</v>
      </c>
      <c r="G75" s="156" t="s">
        <v>839</v>
      </c>
      <c r="H75" s="156"/>
      <c r="I75" s="156"/>
      <c r="J75" s="155">
        <v>1</v>
      </c>
      <c r="K75" s="157">
        <f>663.4/4</f>
        <v>165.85</v>
      </c>
      <c r="L75" s="157">
        <f t="shared" si="8"/>
        <v>4091.5195000000003</v>
      </c>
    </row>
    <row r="76" spans="1:12" x14ac:dyDescent="0.55000000000000004">
      <c r="A76" s="155" t="s">
        <v>840</v>
      </c>
      <c r="B76" s="155" t="s">
        <v>797</v>
      </c>
      <c r="C76" s="155" t="s">
        <v>675</v>
      </c>
      <c r="D76" s="155">
        <v>14701</v>
      </c>
      <c r="E76" s="155" t="s">
        <v>830</v>
      </c>
      <c r="F76" s="156" t="s">
        <v>838</v>
      </c>
      <c r="G76" s="156" t="s">
        <v>841</v>
      </c>
      <c r="H76" s="156"/>
      <c r="I76" s="156"/>
      <c r="J76" s="155">
        <v>1</v>
      </c>
      <c r="K76" s="157">
        <f t="shared" ref="K76:K78" si="10">663.4/4</f>
        <v>165.85</v>
      </c>
      <c r="L76" s="157">
        <f t="shared" si="8"/>
        <v>4091.5195000000003</v>
      </c>
    </row>
    <row r="77" spans="1:12" x14ac:dyDescent="0.55000000000000004">
      <c r="A77" s="155" t="s">
        <v>842</v>
      </c>
      <c r="B77" s="155" t="s">
        <v>797</v>
      </c>
      <c r="C77" s="155" t="s">
        <v>675</v>
      </c>
      <c r="D77" s="155">
        <v>14701</v>
      </c>
      <c r="E77" s="155" t="s">
        <v>830</v>
      </c>
      <c r="F77" s="156" t="s">
        <v>838</v>
      </c>
      <c r="G77" s="156" t="s">
        <v>843</v>
      </c>
      <c r="H77" s="156"/>
      <c r="I77" s="156"/>
      <c r="J77" s="155">
        <v>1</v>
      </c>
      <c r="K77" s="157">
        <f t="shared" si="10"/>
        <v>165.85</v>
      </c>
      <c r="L77" s="157">
        <f t="shared" si="8"/>
        <v>4091.5195000000003</v>
      </c>
    </row>
    <row r="78" spans="1:12" x14ac:dyDescent="0.55000000000000004">
      <c r="A78" s="155" t="s">
        <v>844</v>
      </c>
      <c r="B78" s="155" t="s">
        <v>797</v>
      </c>
      <c r="C78" s="155" t="s">
        <v>675</v>
      </c>
      <c r="D78" s="155">
        <v>14701</v>
      </c>
      <c r="E78" s="155" t="s">
        <v>830</v>
      </c>
      <c r="F78" s="156" t="s">
        <v>838</v>
      </c>
      <c r="G78" s="156" t="s">
        <v>845</v>
      </c>
      <c r="H78" s="156"/>
      <c r="I78" s="156"/>
      <c r="J78" s="155">
        <v>1</v>
      </c>
      <c r="K78" s="157">
        <f t="shared" si="10"/>
        <v>165.85</v>
      </c>
      <c r="L78" s="157">
        <f t="shared" si="8"/>
        <v>4091.5195000000003</v>
      </c>
    </row>
    <row r="79" spans="1:12" x14ac:dyDescent="0.55000000000000004">
      <c r="A79" s="155" t="s">
        <v>846</v>
      </c>
      <c r="B79" s="155" t="s">
        <v>797</v>
      </c>
      <c r="C79" s="155" t="s">
        <v>675</v>
      </c>
      <c r="D79" s="155">
        <v>14728</v>
      </c>
      <c r="E79" s="155" t="s">
        <v>776</v>
      </c>
      <c r="F79" s="156" t="s">
        <v>847</v>
      </c>
      <c r="G79" s="156" t="s">
        <v>848</v>
      </c>
      <c r="H79" s="156"/>
      <c r="I79" s="156"/>
      <c r="J79" s="155">
        <v>1</v>
      </c>
      <c r="K79" s="157">
        <f>1818.65/2</f>
        <v>909.32500000000005</v>
      </c>
      <c r="L79" s="157">
        <f t="shared" si="8"/>
        <v>22433.047750000002</v>
      </c>
    </row>
    <row r="80" spans="1:12" x14ac:dyDescent="0.55000000000000004">
      <c r="A80" s="155" t="s">
        <v>849</v>
      </c>
      <c r="B80" s="155" t="s">
        <v>797</v>
      </c>
      <c r="C80" s="155" t="s">
        <v>675</v>
      </c>
      <c r="D80" s="155">
        <v>14728</v>
      </c>
      <c r="E80" s="155" t="s">
        <v>776</v>
      </c>
      <c r="F80" s="156" t="s">
        <v>850</v>
      </c>
      <c r="G80" s="156" t="s">
        <v>851</v>
      </c>
      <c r="H80" s="156"/>
      <c r="I80" s="156"/>
      <c r="J80" s="155">
        <v>1</v>
      </c>
      <c r="K80" s="157">
        <f>1818.65/2</f>
        <v>909.32500000000005</v>
      </c>
      <c r="L80" s="157">
        <f t="shared" si="8"/>
        <v>22433.047750000002</v>
      </c>
    </row>
    <row r="81" spans="1:12" x14ac:dyDescent="0.55000000000000004">
      <c r="A81" s="155" t="s">
        <v>852</v>
      </c>
      <c r="B81" s="155" t="s">
        <v>797</v>
      </c>
      <c r="C81" s="155" t="s">
        <v>853</v>
      </c>
      <c r="D81" s="155">
        <v>12094</v>
      </c>
      <c r="E81" s="155" t="s">
        <v>854</v>
      </c>
      <c r="F81" s="156" t="s">
        <v>855</v>
      </c>
      <c r="G81" s="156" t="s">
        <v>856</v>
      </c>
      <c r="H81" s="156"/>
      <c r="I81" s="156"/>
      <c r="J81" s="155">
        <v>1</v>
      </c>
      <c r="K81" s="157">
        <v>892.7</v>
      </c>
      <c r="L81" s="157">
        <f t="shared" si="8"/>
        <v>22022.909000000003</v>
      </c>
    </row>
    <row r="82" spans="1:12" x14ac:dyDescent="0.55000000000000004">
      <c r="A82" s="155" t="s">
        <v>857</v>
      </c>
      <c r="B82" s="155" t="s">
        <v>797</v>
      </c>
      <c r="C82" s="155" t="s">
        <v>853</v>
      </c>
      <c r="D82" s="155">
        <v>12094</v>
      </c>
      <c r="E82" s="155" t="s">
        <v>854</v>
      </c>
      <c r="F82" s="156" t="s">
        <v>858</v>
      </c>
      <c r="G82" s="156" t="s">
        <v>859</v>
      </c>
      <c r="H82" s="156"/>
      <c r="I82" s="156"/>
      <c r="J82" s="155">
        <v>1</v>
      </c>
      <c r="K82" s="157">
        <v>892.7</v>
      </c>
      <c r="L82" s="157">
        <f t="shared" si="8"/>
        <v>22022.909000000003</v>
      </c>
    </row>
    <row r="83" spans="1:12" x14ac:dyDescent="0.55000000000000004">
      <c r="A83" s="155" t="s">
        <v>860</v>
      </c>
      <c r="B83" s="155" t="s">
        <v>797</v>
      </c>
      <c r="C83" s="155" t="s">
        <v>661</v>
      </c>
      <c r="D83" s="155">
        <v>12529</v>
      </c>
      <c r="E83" s="155" t="s">
        <v>680</v>
      </c>
      <c r="F83" s="156" t="s">
        <v>861</v>
      </c>
      <c r="G83" s="156" t="s">
        <v>862</v>
      </c>
      <c r="H83" s="156"/>
      <c r="I83" s="156"/>
      <c r="J83" s="155">
        <v>1</v>
      </c>
      <c r="K83" s="157">
        <v>1498</v>
      </c>
      <c r="L83" s="157">
        <f t="shared" si="8"/>
        <v>36955.660000000003</v>
      </c>
    </row>
    <row r="84" spans="1:12" x14ac:dyDescent="0.55000000000000004">
      <c r="A84" s="155" t="s">
        <v>863</v>
      </c>
      <c r="B84" s="155" t="s">
        <v>797</v>
      </c>
      <c r="C84" s="155" t="s">
        <v>798</v>
      </c>
      <c r="D84" s="155">
        <v>14561</v>
      </c>
      <c r="E84" s="155" t="s">
        <v>864</v>
      </c>
      <c r="F84" s="156" t="s">
        <v>865</v>
      </c>
      <c r="G84" s="156" t="s">
        <v>866</v>
      </c>
      <c r="H84" s="156"/>
      <c r="I84" s="156"/>
      <c r="J84" s="159">
        <v>1</v>
      </c>
      <c r="K84" s="157">
        <v>2546.6</v>
      </c>
      <c r="L84" s="157">
        <f t="shared" si="8"/>
        <v>62824.622000000003</v>
      </c>
    </row>
    <row r="85" spans="1:12" x14ac:dyDescent="0.55000000000000004">
      <c r="A85" s="155" t="s">
        <v>867</v>
      </c>
      <c r="B85" s="155" t="s">
        <v>797</v>
      </c>
      <c r="C85" s="155" t="s">
        <v>868</v>
      </c>
      <c r="D85" s="155">
        <v>14806</v>
      </c>
      <c r="E85" s="155" t="s">
        <v>869</v>
      </c>
      <c r="F85" s="156" t="s">
        <v>870</v>
      </c>
      <c r="G85" s="156" t="s">
        <v>871</v>
      </c>
      <c r="H85" s="156"/>
      <c r="I85" s="156"/>
      <c r="J85" s="159">
        <v>1</v>
      </c>
      <c r="K85" s="157">
        <v>1692.2</v>
      </c>
      <c r="L85" s="157">
        <f t="shared" si="8"/>
        <v>41746.574000000001</v>
      </c>
    </row>
    <row r="86" spans="1:12" x14ac:dyDescent="0.55000000000000004">
      <c r="A86" s="155" t="s">
        <v>872</v>
      </c>
      <c r="B86" s="155" t="s">
        <v>873</v>
      </c>
      <c r="C86" s="155" t="s">
        <v>798</v>
      </c>
      <c r="D86" s="155">
        <v>14561</v>
      </c>
      <c r="E86" s="155" t="s">
        <v>799</v>
      </c>
      <c r="F86" s="156" t="s">
        <v>874</v>
      </c>
      <c r="G86" s="156" t="s">
        <v>875</v>
      </c>
      <c r="H86" s="156"/>
      <c r="I86" s="156"/>
      <c r="J86" s="155">
        <v>1</v>
      </c>
      <c r="K86" s="157">
        <v>304.64</v>
      </c>
      <c r="L86" s="157">
        <f t="shared" si="8"/>
        <v>7515.4688000000006</v>
      </c>
    </row>
    <row r="87" spans="1:12" x14ac:dyDescent="0.55000000000000004">
      <c r="A87" s="155" t="s">
        <v>876</v>
      </c>
      <c r="B87" s="155" t="s">
        <v>873</v>
      </c>
      <c r="C87" s="155" t="s">
        <v>798</v>
      </c>
      <c r="D87" s="155">
        <v>14561</v>
      </c>
      <c r="E87" s="155" t="s">
        <v>799</v>
      </c>
      <c r="F87" s="156" t="s">
        <v>877</v>
      </c>
      <c r="G87" s="156" t="s">
        <v>878</v>
      </c>
      <c r="H87" s="156"/>
      <c r="I87" s="156"/>
      <c r="J87" s="155">
        <v>1</v>
      </c>
      <c r="K87" s="160">
        <v>727.6</v>
      </c>
      <c r="L87" s="157">
        <f t="shared" si="8"/>
        <v>17949.892000000003</v>
      </c>
    </row>
    <row r="88" spans="1:12" x14ac:dyDescent="0.55000000000000004">
      <c r="A88" s="155" t="s">
        <v>879</v>
      </c>
      <c r="B88" s="155" t="s">
        <v>873</v>
      </c>
      <c r="C88" s="155" t="s">
        <v>798</v>
      </c>
      <c r="D88" s="155">
        <v>14561</v>
      </c>
      <c r="E88" s="155" t="s">
        <v>799</v>
      </c>
      <c r="F88" s="156" t="s">
        <v>880</v>
      </c>
      <c r="G88" s="156" t="s">
        <v>881</v>
      </c>
      <c r="H88" s="156"/>
      <c r="I88" s="156"/>
      <c r="J88" s="155">
        <v>1</v>
      </c>
      <c r="K88" s="160">
        <v>727.6</v>
      </c>
      <c r="L88" s="157">
        <f t="shared" si="8"/>
        <v>17949.892000000003</v>
      </c>
    </row>
    <row r="89" spans="1:12" x14ac:dyDescent="0.55000000000000004">
      <c r="A89" s="155" t="s">
        <v>882</v>
      </c>
      <c r="B89" s="155" t="s">
        <v>873</v>
      </c>
      <c r="C89" s="155" t="s">
        <v>798</v>
      </c>
      <c r="D89" s="155">
        <v>14561</v>
      </c>
      <c r="E89" s="155" t="s">
        <v>799</v>
      </c>
      <c r="F89" s="156" t="s">
        <v>883</v>
      </c>
      <c r="G89" s="156" t="s">
        <v>884</v>
      </c>
      <c r="H89" s="156"/>
      <c r="I89" s="156"/>
      <c r="J89" s="155">
        <v>1</v>
      </c>
      <c r="K89" s="160">
        <v>727.6</v>
      </c>
      <c r="L89" s="157">
        <f t="shared" si="8"/>
        <v>17949.892000000003</v>
      </c>
    </row>
    <row r="90" spans="1:12" x14ac:dyDescent="0.55000000000000004">
      <c r="A90" s="155" t="s">
        <v>885</v>
      </c>
      <c r="B90" s="155" t="s">
        <v>873</v>
      </c>
      <c r="C90" s="155" t="s">
        <v>798</v>
      </c>
      <c r="D90" s="155">
        <v>14561</v>
      </c>
      <c r="E90" s="155" t="s">
        <v>799</v>
      </c>
      <c r="F90" s="156" t="s">
        <v>886</v>
      </c>
      <c r="G90" s="156" t="s">
        <v>887</v>
      </c>
      <c r="H90" s="156"/>
      <c r="I90" s="156"/>
      <c r="J90" s="155">
        <v>1</v>
      </c>
      <c r="K90" s="160">
        <v>727.6</v>
      </c>
      <c r="L90" s="157">
        <f t="shared" si="8"/>
        <v>17949.892000000003</v>
      </c>
    </row>
    <row r="91" spans="1:12" x14ac:dyDescent="0.55000000000000004">
      <c r="A91" s="155" t="s">
        <v>888</v>
      </c>
      <c r="B91" s="155" t="s">
        <v>873</v>
      </c>
      <c r="C91" s="155" t="s">
        <v>798</v>
      </c>
      <c r="D91" s="155">
        <v>14561</v>
      </c>
      <c r="E91" s="155" t="s">
        <v>799</v>
      </c>
      <c r="F91" s="156" t="s">
        <v>889</v>
      </c>
      <c r="G91" s="156" t="s">
        <v>890</v>
      </c>
      <c r="H91" s="156"/>
      <c r="I91" s="156"/>
      <c r="J91" s="155">
        <v>1</v>
      </c>
      <c r="K91" s="160">
        <v>727.6</v>
      </c>
      <c r="L91" s="157">
        <f t="shared" si="8"/>
        <v>17949.892000000003</v>
      </c>
    </row>
    <row r="92" spans="1:12" x14ac:dyDescent="0.55000000000000004">
      <c r="A92" s="155" t="s">
        <v>891</v>
      </c>
      <c r="B92" s="155" t="s">
        <v>873</v>
      </c>
      <c r="C92" s="155" t="s">
        <v>661</v>
      </c>
      <c r="D92" s="155">
        <v>12529</v>
      </c>
      <c r="E92" s="155" t="s">
        <v>892</v>
      </c>
      <c r="F92" s="156" t="s">
        <v>893</v>
      </c>
      <c r="G92" s="156" t="s">
        <v>894</v>
      </c>
      <c r="H92" s="156"/>
      <c r="I92" s="156"/>
      <c r="J92" s="155">
        <v>1</v>
      </c>
      <c r="K92" s="157">
        <v>877.4</v>
      </c>
      <c r="L92" s="157">
        <f t="shared" si="8"/>
        <v>21645.458000000002</v>
      </c>
    </row>
    <row r="93" spans="1:12" x14ac:dyDescent="0.55000000000000004">
      <c r="A93" s="155" t="s">
        <v>895</v>
      </c>
      <c r="B93" s="155" t="s">
        <v>873</v>
      </c>
      <c r="C93" s="155" t="s">
        <v>661</v>
      </c>
      <c r="D93" s="155">
        <v>12529</v>
      </c>
      <c r="E93" s="155" t="s">
        <v>892</v>
      </c>
      <c r="F93" s="156" t="s">
        <v>896</v>
      </c>
      <c r="G93" s="156" t="s">
        <v>897</v>
      </c>
      <c r="H93" s="156"/>
      <c r="I93" s="156"/>
      <c r="J93" s="155">
        <v>1</v>
      </c>
      <c r="K93" s="157">
        <v>877.4</v>
      </c>
      <c r="L93" s="157">
        <f t="shared" si="8"/>
        <v>21645.458000000002</v>
      </c>
    </row>
    <row r="94" spans="1:12" x14ac:dyDescent="0.55000000000000004">
      <c r="A94" s="155" t="s">
        <v>898</v>
      </c>
      <c r="B94" s="155" t="s">
        <v>899</v>
      </c>
      <c r="C94" s="155" t="s">
        <v>661</v>
      </c>
      <c r="D94" s="155">
        <v>12529</v>
      </c>
      <c r="E94" s="155" t="s">
        <v>680</v>
      </c>
      <c r="F94" s="156" t="s">
        <v>900</v>
      </c>
      <c r="G94" s="156" t="s">
        <v>901</v>
      </c>
      <c r="H94" s="156"/>
      <c r="I94" s="156"/>
      <c r="J94" s="155">
        <v>1</v>
      </c>
      <c r="K94" s="157">
        <v>674.1</v>
      </c>
      <c r="L94" s="157">
        <f t="shared" si="8"/>
        <v>16630.047000000002</v>
      </c>
    </row>
    <row r="95" spans="1:12" x14ac:dyDescent="0.55000000000000004">
      <c r="A95" s="155" t="s">
        <v>902</v>
      </c>
      <c r="B95" s="155" t="s">
        <v>899</v>
      </c>
      <c r="C95" s="155" t="s">
        <v>661</v>
      </c>
      <c r="D95" s="155">
        <v>12529</v>
      </c>
      <c r="E95" s="155" t="s">
        <v>680</v>
      </c>
      <c r="F95" s="156" t="s">
        <v>903</v>
      </c>
      <c r="G95" s="156" t="s">
        <v>904</v>
      </c>
      <c r="H95" s="156"/>
      <c r="I95" s="156"/>
      <c r="J95" s="155">
        <v>1</v>
      </c>
      <c r="K95" s="157">
        <v>674.1</v>
      </c>
      <c r="L95" s="157">
        <f t="shared" si="8"/>
        <v>16630.047000000002</v>
      </c>
    </row>
    <row r="96" spans="1:12" x14ac:dyDescent="0.55000000000000004">
      <c r="A96" s="155" t="s">
        <v>905</v>
      </c>
      <c r="B96" s="155" t="s">
        <v>899</v>
      </c>
      <c r="C96" s="155" t="s">
        <v>798</v>
      </c>
      <c r="D96" s="155">
        <v>14561</v>
      </c>
      <c r="E96" s="155" t="s">
        <v>799</v>
      </c>
      <c r="F96" s="156" t="s">
        <v>906</v>
      </c>
      <c r="G96" s="156" t="s">
        <v>907</v>
      </c>
      <c r="H96" s="156"/>
      <c r="I96" s="156"/>
      <c r="J96" s="159">
        <v>1</v>
      </c>
      <c r="K96" s="157">
        <v>1760.48</v>
      </c>
      <c r="L96" s="157">
        <f t="shared" si="8"/>
        <v>43431.041600000004</v>
      </c>
    </row>
    <row r="97" spans="1:12" x14ac:dyDescent="0.55000000000000004">
      <c r="A97" s="155" t="s">
        <v>908</v>
      </c>
      <c r="B97" s="155" t="s">
        <v>899</v>
      </c>
      <c r="C97" s="155" t="s">
        <v>798</v>
      </c>
      <c r="D97" s="155">
        <v>14561</v>
      </c>
      <c r="E97" s="155" t="s">
        <v>799</v>
      </c>
      <c r="F97" s="156" t="s">
        <v>909</v>
      </c>
      <c r="G97" s="156" t="s">
        <v>910</v>
      </c>
      <c r="H97" s="156"/>
      <c r="I97" s="156"/>
      <c r="J97" s="159">
        <v>1</v>
      </c>
      <c r="K97" s="157">
        <v>1760.48</v>
      </c>
      <c r="L97" s="157">
        <f t="shared" si="8"/>
        <v>43431.041600000004</v>
      </c>
    </row>
    <row r="98" spans="1:12" x14ac:dyDescent="0.55000000000000004">
      <c r="A98" s="155" t="s">
        <v>911</v>
      </c>
      <c r="B98" s="155" t="s">
        <v>899</v>
      </c>
      <c r="C98" s="155" t="s">
        <v>798</v>
      </c>
      <c r="D98" s="155">
        <v>14561</v>
      </c>
      <c r="E98" s="155" t="s">
        <v>799</v>
      </c>
      <c r="F98" s="156" t="s">
        <v>912</v>
      </c>
      <c r="G98" s="156" t="s">
        <v>913</v>
      </c>
      <c r="H98" s="156"/>
      <c r="I98" s="156"/>
      <c r="J98" s="159">
        <v>1</v>
      </c>
      <c r="K98" s="157">
        <v>1829.42</v>
      </c>
      <c r="L98" s="157">
        <f t="shared" si="8"/>
        <v>45131.791400000002</v>
      </c>
    </row>
    <row r="99" spans="1:12" x14ac:dyDescent="0.55000000000000004">
      <c r="A99" s="155" t="s">
        <v>914</v>
      </c>
      <c r="B99" s="155" t="s">
        <v>899</v>
      </c>
      <c r="C99" s="155" t="s">
        <v>798</v>
      </c>
      <c r="D99" s="155">
        <v>14561</v>
      </c>
      <c r="E99" s="155" t="s">
        <v>799</v>
      </c>
      <c r="F99" s="156" t="s">
        <v>915</v>
      </c>
      <c r="G99" s="156" t="s">
        <v>916</v>
      </c>
      <c r="H99" s="156"/>
      <c r="I99" s="156"/>
      <c r="J99" s="159">
        <v>1</v>
      </c>
      <c r="K99" s="157">
        <v>1309.07</v>
      </c>
      <c r="L99" s="157">
        <f t="shared" si="8"/>
        <v>32294.7569</v>
      </c>
    </row>
    <row r="100" spans="1:12" x14ac:dyDescent="0.55000000000000004">
      <c r="A100" s="155" t="s">
        <v>917</v>
      </c>
      <c r="B100" s="155" t="s">
        <v>899</v>
      </c>
      <c r="C100" s="155" t="s">
        <v>798</v>
      </c>
      <c r="D100" s="155">
        <v>14561</v>
      </c>
      <c r="E100" s="155" t="s">
        <v>799</v>
      </c>
      <c r="F100" s="156" t="s">
        <v>918</v>
      </c>
      <c r="G100" s="156" t="s">
        <v>919</v>
      </c>
      <c r="H100" s="156"/>
      <c r="I100" s="156"/>
      <c r="J100" s="159">
        <v>1</v>
      </c>
      <c r="K100" s="157">
        <v>1309.07</v>
      </c>
      <c r="L100" s="157">
        <f t="shared" si="8"/>
        <v>32294.7569</v>
      </c>
    </row>
    <row r="101" spans="1:12" x14ac:dyDescent="0.55000000000000004">
      <c r="A101" s="155" t="s">
        <v>920</v>
      </c>
      <c r="B101" s="155" t="s">
        <v>73</v>
      </c>
      <c r="C101" s="155" t="s">
        <v>675</v>
      </c>
      <c r="D101" s="155">
        <v>14728</v>
      </c>
      <c r="E101" s="155" t="s">
        <v>776</v>
      </c>
      <c r="F101" s="156" t="s">
        <v>921</v>
      </c>
      <c r="G101" s="156" t="s">
        <v>922</v>
      </c>
      <c r="H101" s="156"/>
      <c r="I101" s="156"/>
      <c r="J101" s="155">
        <v>2</v>
      </c>
      <c r="K101" s="157">
        <v>772.04</v>
      </c>
      <c r="L101" s="157">
        <f t="shared" si="8"/>
        <v>19046.2268</v>
      </c>
    </row>
    <row r="102" spans="1:12" x14ac:dyDescent="0.55000000000000004">
      <c r="A102" s="155" t="s">
        <v>923</v>
      </c>
      <c r="B102" s="155" t="str">
        <f>+B98</f>
        <v>IT Stands</v>
      </c>
      <c r="C102" s="155" t="s">
        <v>798</v>
      </c>
      <c r="D102" s="155">
        <v>14561</v>
      </c>
      <c r="E102" s="155" t="s">
        <v>799</v>
      </c>
      <c r="F102" s="156" t="s">
        <v>924</v>
      </c>
      <c r="G102" s="156" t="s">
        <v>925</v>
      </c>
      <c r="H102" s="156"/>
      <c r="I102" s="156"/>
      <c r="J102" s="155">
        <v>1</v>
      </c>
      <c r="K102" s="157">
        <v>794.71</v>
      </c>
      <c r="L102" s="157">
        <f t="shared" si="8"/>
        <v>19605.495700000003</v>
      </c>
    </row>
    <row r="103" spans="1:12" x14ac:dyDescent="0.55000000000000004">
      <c r="A103" s="155" t="s">
        <v>926</v>
      </c>
      <c r="B103" s="155" t="s">
        <v>253</v>
      </c>
      <c r="C103" s="155" t="s">
        <v>927</v>
      </c>
      <c r="D103" s="155">
        <v>14318</v>
      </c>
      <c r="E103" s="155" t="s">
        <v>928</v>
      </c>
      <c r="F103" s="156" t="s">
        <v>929</v>
      </c>
      <c r="G103" s="156" t="s">
        <v>930</v>
      </c>
      <c r="H103" s="156"/>
      <c r="I103" s="156"/>
      <c r="J103" s="159">
        <v>1</v>
      </c>
      <c r="K103" s="157">
        <v>1230</v>
      </c>
      <c r="L103" s="157">
        <f t="shared" si="8"/>
        <v>30344.100000000002</v>
      </c>
    </row>
    <row r="104" spans="1:12" x14ac:dyDescent="0.55000000000000004">
      <c r="A104" s="155" t="s">
        <v>931</v>
      </c>
      <c r="B104" s="155" t="s">
        <v>932</v>
      </c>
      <c r="C104" s="155" t="s">
        <v>675</v>
      </c>
      <c r="D104" s="155">
        <v>14728</v>
      </c>
      <c r="E104" s="155" t="s">
        <v>776</v>
      </c>
      <c r="F104" s="156" t="s">
        <v>933</v>
      </c>
      <c r="G104" s="156" t="s">
        <v>934</v>
      </c>
      <c r="H104" s="156"/>
      <c r="I104" s="156"/>
      <c r="J104" s="155">
        <v>1</v>
      </c>
      <c r="K104" s="157">
        <v>324.87</v>
      </c>
      <c r="L104" s="157">
        <f t="shared" si="8"/>
        <v>8014.5429000000004</v>
      </c>
    </row>
    <row r="105" spans="1:12" x14ac:dyDescent="0.55000000000000004">
      <c r="A105" s="155" t="s">
        <v>935</v>
      </c>
      <c r="B105" s="155" t="s">
        <v>936</v>
      </c>
      <c r="C105" s="155" t="s">
        <v>675</v>
      </c>
      <c r="D105" s="155">
        <v>14723</v>
      </c>
      <c r="E105" s="155" t="s">
        <v>676</v>
      </c>
      <c r="F105" s="156" t="s">
        <v>937</v>
      </c>
      <c r="G105" s="156" t="s">
        <v>938</v>
      </c>
      <c r="H105" s="156"/>
      <c r="I105" s="156"/>
      <c r="J105" s="155">
        <v>1</v>
      </c>
      <c r="K105" s="157">
        <v>324.55</v>
      </c>
      <c r="L105" s="157">
        <f t="shared" si="8"/>
        <v>8006.6485000000011</v>
      </c>
    </row>
    <row r="106" spans="1:12" x14ac:dyDescent="0.55000000000000004">
      <c r="A106" s="155" t="s">
        <v>939</v>
      </c>
      <c r="B106" s="155" t="s">
        <v>936</v>
      </c>
      <c r="C106" s="155" t="s">
        <v>661</v>
      </c>
      <c r="D106" s="155">
        <v>12529</v>
      </c>
      <c r="E106" s="155" t="s">
        <v>940</v>
      </c>
      <c r="F106" s="156" t="s">
        <v>941</v>
      </c>
      <c r="G106" s="156" t="s">
        <v>942</v>
      </c>
      <c r="H106" s="156"/>
      <c r="I106" s="156"/>
      <c r="J106" s="155">
        <v>1</v>
      </c>
      <c r="K106" s="157">
        <v>820.83</v>
      </c>
      <c r="L106" s="157">
        <f t="shared" si="8"/>
        <v>20249.876100000001</v>
      </c>
    </row>
    <row r="107" spans="1:12" x14ac:dyDescent="0.55000000000000004">
      <c r="A107" s="155" t="s">
        <v>943</v>
      </c>
      <c r="B107" s="155" t="s">
        <v>944</v>
      </c>
      <c r="C107" s="155" t="s">
        <v>945</v>
      </c>
      <c r="D107" s="155">
        <v>13587</v>
      </c>
      <c r="E107" s="155" t="s">
        <v>946</v>
      </c>
      <c r="F107" s="156" t="s">
        <v>947</v>
      </c>
      <c r="G107" s="156" t="s">
        <v>948</v>
      </c>
      <c r="H107" s="156"/>
      <c r="I107" s="156"/>
      <c r="J107" s="155">
        <v>1</v>
      </c>
      <c r="K107" s="157">
        <v>853.7</v>
      </c>
      <c r="L107" s="157">
        <f t="shared" si="8"/>
        <v>21060.779000000002</v>
      </c>
    </row>
    <row r="108" spans="1:12" x14ac:dyDescent="0.55000000000000004">
      <c r="A108" s="155" t="s">
        <v>949</v>
      </c>
      <c r="B108" s="155" t="s">
        <v>950</v>
      </c>
      <c r="C108" s="155" t="s">
        <v>652</v>
      </c>
      <c r="D108" s="155">
        <v>13758</v>
      </c>
      <c r="E108" s="155" t="s">
        <v>951</v>
      </c>
      <c r="F108" s="156" t="s">
        <v>952</v>
      </c>
      <c r="G108" s="156" t="s">
        <v>953</v>
      </c>
      <c r="H108" s="156"/>
      <c r="I108" s="156"/>
      <c r="J108" s="155">
        <v>1</v>
      </c>
      <c r="K108" s="157">
        <v>197.12</v>
      </c>
      <c r="L108" s="157">
        <f t="shared" si="8"/>
        <v>4862.9504000000006</v>
      </c>
    </row>
    <row r="109" spans="1:12" x14ac:dyDescent="0.55000000000000004">
      <c r="A109" s="155" t="s">
        <v>954</v>
      </c>
      <c r="B109" s="155" t="s">
        <v>955</v>
      </c>
      <c r="C109" s="155" t="s">
        <v>798</v>
      </c>
      <c r="D109" s="155">
        <v>14561</v>
      </c>
      <c r="E109" s="155" t="s">
        <v>799</v>
      </c>
      <c r="F109" s="156" t="s">
        <v>956</v>
      </c>
      <c r="G109" s="156" t="s">
        <v>957</v>
      </c>
      <c r="H109" s="156"/>
      <c r="I109" s="156"/>
      <c r="J109" s="161">
        <v>6</v>
      </c>
      <c r="K109" s="157">
        <v>264.89999999999998</v>
      </c>
      <c r="L109" s="157">
        <f t="shared" si="8"/>
        <v>6535.0829999999996</v>
      </c>
    </row>
    <row r="110" spans="1:12" x14ac:dyDescent="0.55000000000000004">
      <c r="A110" s="155" t="s">
        <v>958</v>
      </c>
      <c r="B110" s="155" t="s">
        <v>959</v>
      </c>
      <c r="C110" s="155" t="s">
        <v>960</v>
      </c>
      <c r="D110" s="155">
        <v>13014</v>
      </c>
      <c r="E110" s="155" t="s">
        <v>961</v>
      </c>
      <c r="F110" s="156" t="s">
        <v>962</v>
      </c>
      <c r="G110" s="156" t="s">
        <v>963</v>
      </c>
      <c r="H110" s="156"/>
      <c r="I110" s="156"/>
      <c r="J110" s="155">
        <v>1</v>
      </c>
      <c r="K110" s="157">
        <v>125</v>
      </c>
      <c r="L110" s="157">
        <f t="shared" si="8"/>
        <v>3083.75</v>
      </c>
    </row>
    <row r="111" spans="1:12" x14ac:dyDescent="0.55000000000000004">
      <c r="A111" s="155" t="s">
        <v>964</v>
      </c>
      <c r="B111" s="155" t="s">
        <v>959</v>
      </c>
      <c r="C111" s="155" t="s">
        <v>767</v>
      </c>
      <c r="D111" s="155">
        <v>14377</v>
      </c>
      <c r="E111" s="155" t="s">
        <v>768</v>
      </c>
      <c r="F111" s="156" t="s">
        <v>965</v>
      </c>
      <c r="G111" s="156" t="s">
        <v>966</v>
      </c>
      <c r="H111" s="156"/>
      <c r="I111" s="156"/>
      <c r="J111" s="155">
        <v>1</v>
      </c>
      <c r="K111" s="157">
        <v>181.4</v>
      </c>
      <c r="L111" s="157">
        <f t="shared" si="8"/>
        <v>4475.1380000000008</v>
      </c>
    </row>
    <row r="112" spans="1:12" x14ac:dyDescent="0.55000000000000004">
      <c r="A112" s="155" t="s">
        <v>967</v>
      </c>
      <c r="B112" s="155" t="s">
        <v>959</v>
      </c>
      <c r="C112" s="155" t="s">
        <v>675</v>
      </c>
      <c r="D112" s="155">
        <v>14728</v>
      </c>
      <c r="E112" s="155" t="s">
        <v>776</v>
      </c>
      <c r="F112" s="156" t="s">
        <v>968</v>
      </c>
      <c r="G112" s="156" t="s">
        <v>969</v>
      </c>
      <c r="H112" s="156"/>
      <c r="I112" s="156"/>
      <c r="J112" s="155">
        <v>1</v>
      </c>
      <c r="K112" s="157">
        <v>394.23</v>
      </c>
      <c r="L112" s="157">
        <f t="shared" si="8"/>
        <v>9725.6541000000016</v>
      </c>
    </row>
    <row r="113" spans="1:22" x14ac:dyDescent="0.55000000000000004">
      <c r="A113" s="155" t="s">
        <v>970</v>
      </c>
      <c r="B113" s="155" t="s">
        <v>959</v>
      </c>
      <c r="C113" s="155" t="s">
        <v>652</v>
      </c>
      <c r="D113" s="155">
        <v>13902</v>
      </c>
      <c r="E113" s="155" t="s">
        <v>653</v>
      </c>
      <c r="F113" s="156" t="s">
        <v>971</v>
      </c>
      <c r="G113" s="156" t="s">
        <v>972</v>
      </c>
      <c r="H113" s="156"/>
      <c r="I113" s="156"/>
      <c r="J113" s="155">
        <v>1</v>
      </c>
      <c r="K113" s="157">
        <v>1166.4100000000001</v>
      </c>
      <c r="L113" s="157">
        <f t="shared" si="8"/>
        <v>28775.334700000003</v>
      </c>
    </row>
    <row r="114" spans="1:22" x14ac:dyDescent="0.55000000000000004">
      <c r="A114" s="155" t="s">
        <v>973</v>
      </c>
      <c r="B114" s="155" t="s">
        <v>959</v>
      </c>
      <c r="C114" s="155" t="s">
        <v>652</v>
      </c>
      <c r="D114" s="155">
        <v>13902</v>
      </c>
      <c r="E114" s="155" t="s">
        <v>653</v>
      </c>
      <c r="F114" s="156" t="s">
        <v>974</v>
      </c>
      <c r="G114" s="156" t="s">
        <v>975</v>
      </c>
      <c r="H114" s="156"/>
      <c r="I114" s="156"/>
      <c r="J114" s="155">
        <v>1</v>
      </c>
      <c r="K114" s="157">
        <v>1166.4100000000001</v>
      </c>
      <c r="L114" s="157">
        <f t="shared" si="8"/>
        <v>28775.334700000003</v>
      </c>
    </row>
    <row r="115" spans="1:22" x14ac:dyDescent="0.55000000000000004">
      <c r="A115" s="155" t="s">
        <v>976</v>
      </c>
      <c r="B115" s="155" t="s">
        <v>959</v>
      </c>
      <c r="C115" s="155" t="s">
        <v>652</v>
      </c>
      <c r="D115" s="155">
        <v>13902</v>
      </c>
      <c r="E115" s="155" t="s">
        <v>653</v>
      </c>
      <c r="F115" s="156" t="s">
        <v>977</v>
      </c>
      <c r="G115" s="156" t="s">
        <v>978</v>
      </c>
      <c r="H115" s="156"/>
      <c r="I115" s="156"/>
      <c r="J115" s="155">
        <v>1</v>
      </c>
      <c r="K115" s="157">
        <v>1166.4100000000001</v>
      </c>
      <c r="L115" s="157">
        <f t="shared" si="8"/>
        <v>28775.334700000003</v>
      </c>
    </row>
    <row r="116" spans="1:22" x14ac:dyDescent="0.55000000000000004">
      <c r="A116" s="155" t="s">
        <v>979</v>
      </c>
      <c r="B116" s="155" t="s">
        <v>980</v>
      </c>
      <c r="C116" s="155" t="s">
        <v>652</v>
      </c>
      <c r="D116" s="155">
        <v>13758</v>
      </c>
      <c r="E116" s="155" t="s">
        <v>951</v>
      </c>
      <c r="F116" s="156" t="s">
        <v>981</v>
      </c>
      <c r="G116" s="156" t="s">
        <v>982</v>
      </c>
      <c r="H116" s="156"/>
      <c r="I116" s="156"/>
      <c r="J116" s="155">
        <v>1</v>
      </c>
      <c r="K116" s="157">
        <v>547.73</v>
      </c>
      <c r="L116" s="157">
        <f t="shared" si="8"/>
        <v>13512.499100000001</v>
      </c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</row>
    <row r="117" spans="1:22" x14ac:dyDescent="0.55000000000000004">
      <c r="A117" s="155" t="s">
        <v>983</v>
      </c>
      <c r="B117" s="155" t="s">
        <v>984</v>
      </c>
      <c r="C117" s="155" t="s">
        <v>767</v>
      </c>
      <c r="D117" s="155">
        <v>14377</v>
      </c>
      <c r="E117" s="155" t="s">
        <v>768</v>
      </c>
      <c r="F117" s="156" t="s">
        <v>133</v>
      </c>
      <c r="G117" s="156" t="s">
        <v>985</v>
      </c>
      <c r="H117" s="156"/>
      <c r="I117" s="156"/>
      <c r="J117" s="159">
        <v>1</v>
      </c>
      <c r="K117" s="157">
        <v>1975.7</v>
      </c>
      <c r="L117" s="157">
        <f t="shared" si="8"/>
        <v>48740.519000000008</v>
      </c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</row>
    <row r="118" spans="1:22" x14ac:dyDescent="0.55000000000000004">
      <c r="A118" s="155" t="s">
        <v>986</v>
      </c>
      <c r="B118" s="155" t="s">
        <v>987</v>
      </c>
      <c r="C118" s="155" t="s">
        <v>652</v>
      </c>
      <c r="D118" s="155">
        <v>13758</v>
      </c>
      <c r="E118" s="155" t="s">
        <v>951</v>
      </c>
      <c r="F118" s="156" t="s">
        <v>988</v>
      </c>
      <c r="G118" s="156" t="s">
        <v>989</v>
      </c>
      <c r="H118" s="156"/>
      <c r="I118" s="156"/>
      <c r="J118" s="155">
        <v>1</v>
      </c>
      <c r="K118" s="157">
        <v>657.72</v>
      </c>
      <c r="L118" s="157">
        <f t="shared" si="8"/>
        <v>16225.952400000002</v>
      </c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</row>
    <row r="119" spans="1:22" ht="26.25" customHeight="1" x14ac:dyDescent="0.55000000000000004">
      <c r="A119" s="163" t="s">
        <v>990</v>
      </c>
      <c r="B119" s="179" t="s">
        <v>991</v>
      </c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</row>
    <row r="120" spans="1:22" ht="26.25" customHeight="1" x14ac:dyDescent="0.55000000000000004">
      <c r="B120" s="180" t="s">
        <v>992</v>
      </c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</row>
    <row r="121" spans="1:22" x14ac:dyDescent="0.55000000000000004">
      <c r="K121" s="165"/>
      <c r="L121" s="165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</row>
    <row r="122" spans="1:22" ht="39.75" customHeight="1" x14ac:dyDescent="0.55000000000000004">
      <c r="A122" s="166"/>
      <c r="B122" s="167" t="s">
        <v>993</v>
      </c>
      <c r="C122" s="167"/>
      <c r="D122" s="167"/>
      <c r="E122" s="167"/>
      <c r="F122" s="168"/>
      <c r="K122" s="165"/>
      <c r="L122" s="165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</row>
    <row r="123" spans="1:22" ht="39.75" customHeight="1" x14ac:dyDescent="0.55000000000000004">
      <c r="A123" s="166"/>
      <c r="B123" s="167" t="s">
        <v>994</v>
      </c>
      <c r="C123" s="167"/>
      <c r="D123" s="167"/>
      <c r="E123" s="167"/>
      <c r="F123" s="168"/>
      <c r="K123" s="165"/>
      <c r="L123" s="165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</row>
    <row r="124" spans="1:22" ht="39.75" customHeight="1" x14ac:dyDescent="0.55000000000000004">
      <c r="A124" s="166"/>
      <c r="B124" s="167" t="s">
        <v>995</v>
      </c>
      <c r="C124" s="167"/>
      <c r="D124" s="167"/>
      <c r="E124" s="167"/>
      <c r="F124" s="168"/>
    </row>
    <row r="126" spans="1:22" x14ac:dyDescent="0.55000000000000004">
      <c r="A126" s="169"/>
      <c r="B126" s="169"/>
      <c r="C126" s="169"/>
      <c r="D126" s="169"/>
      <c r="E126" s="169"/>
    </row>
  </sheetData>
  <mergeCells count="2">
    <mergeCell ref="B119:L119"/>
    <mergeCell ref="B120:L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205205 Depreciation Table 2026</vt:lpstr>
      <vt:lpstr>898150 Uncapitalization 2026</vt:lpstr>
      <vt:lpstr>Asset 2017-2019 of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Accountant6</dc:creator>
  <cp:lastModifiedBy>Jutharat Kamonjaroenrat</cp:lastModifiedBy>
  <dcterms:created xsi:type="dcterms:W3CDTF">2026-09-28T03:25:33Z</dcterms:created>
  <dcterms:modified xsi:type="dcterms:W3CDTF">2026-09-28T03:40:19Z</dcterms:modified>
</cp:coreProperties>
</file>